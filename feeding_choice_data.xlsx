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attleaquarium-my.sharepoint.com/personal/d_escontreladieguez_seattleaquarium_org/Documents/Documents/phd_chapters/CH3_feeding_trial/data_analysis/"/>
    </mc:Choice>
  </mc:AlternateContent>
  <xr:revisionPtr revIDLastSave="8" documentId="13_ncr:1_{0A1811FB-AB3B-214A-B011-5C61676F4CF6}" xr6:coauthVersionLast="47" xr6:coauthVersionMax="47" xr10:uidLastSave="{7BFF90F2-6D1C-4171-BB35-3F0DC799B862}"/>
  <bookViews>
    <workbookView xWindow="45972" yWindow="-108" windowWidth="30936" windowHeight="16776" xr2:uid="{3D8F6320-A005-9143-94CD-EDA886BF21FC}"/>
  </bookViews>
  <sheets>
    <sheet name="data" sheetId="1" r:id="rId1"/>
    <sheet name="Sheet1" sheetId="7" r:id="rId2"/>
    <sheet name="Codes" sheetId="5" r:id="rId3"/>
    <sheet name="cage info" sheetId="2" r:id="rId4"/>
    <sheet name="combinations" sheetId="6" r:id="rId5"/>
    <sheet name="data fix" sheetId="3" state="hidden" r:id="rId6"/>
    <sheet name="removed data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M277" i="1" l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276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  <c r="Y314" i="1"/>
  <c r="B314" i="1" s="1"/>
  <c r="Y315" i="1"/>
  <c r="B315" i="1" s="1"/>
  <c r="Y316" i="1"/>
  <c r="B316" i="1" s="1"/>
  <c r="Y317" i="1"/>
  <c r="B317" i="1" s="1"/>
  <c r="Y318" i="1"/>
  <c r="B318" i="1" s="1"/>
  <c r="Y319" i="1"/>
  <c r="B319" i="1" s="1"/>
  <c r="Y320" i="1"/>
  <c r="B320" i="1" s="1"/>
  <c r="Y321" i="1"/>
  <c r="B321" i="1" s="1"/>
  <c r="Y322" i="1"/>
  <c r="B322" i="1" s="1"/>
  <c r="Y323" i="1"/>
  <c r="B323" i="1" s="1"/>
  <c r="T314" i="1"/>
  <c r="A314" i="1" s="1"/>
  <c r="T315" i="1"/>
  <c r="A315" i="1" s="1"/>
  <c r="T316" i="1"/>
  <c r="A316" i="1" s="1"/>
  <c r="T317" i="1"/>
  <c r="A317" i="1" s="1"/>
  <c r="T318" i="1"/>
  <c r="A318" i="1" s="1"/>
  <c r="T319" i="1"/>
  <c r="A319" i="1" s="1"/>
  <c r="T320" i="1"/>
  <c r="A320" i="1" s="1"/>
  <c r="T321" i="1"/>
  <c r="A321" i="1" s="1"/>
  <c r="T322" i="1"/>
  <c r="A322" i="1" s="1"/>
  <c r="T323" i="1"/>
  <c r="A323" i="1" s="1"/>
  <c r="Y304" i="1" l="1"/>
  <c r="B304" i="1" s="1"/>
  <c r="Y305" i="1"/>
  <c r="B305" i="1" s="1"/>
  <c r="Y306" i="1"/>
  <c r="B306" i="1" s="1"/>
  <c r="Y307" i="1"/>
  <c r="B307" i="1" s="1"/>
  <c r="Y308" i="1"/>
  <c r="B308" i="1" s="1"/>
  <c r="Y309" i="1"/>
  <c r="B309" i="1" s="1"/>
  <c r="Y310" i="1"/>
  <c r="B310" i="1" s="1"/>
  <c r="Y311" i="1"/>
  <c r="B311" i="1" s="1"/>
  <c r="Y312" i="1"/>
  <c r="B312" i="1" s="1"/>
  <c r="Y313" i="1"/>
  <c r="B313" i="1" s="1"/>
  <c r="T308" i="1"/>
  <c r="A308" i="1" s="1"/>
  <c r="T305" i="1"/>
  <c r="A305" i="1" s="1"/>
  <c r="T306" i="1"/>
  <c r="A306" i="1" s="1"/>
  <c r="T307" i="1"/>
  <c r="A307" i="1" s="1"/>
  <c r="T309" i="1"/>
  <c r="A309" i="1" s="1"/>
  <c r="T310" i="1"/>
  <c r="A310" i="1" s="1"/>
  <c r="T311" i="1"/>
  <c r="A311" i="1" s="1"/>
  <c r="T312" i="1"/>
  <c r="A312" i="1" s="1"/>
  <c r="T313" i="1"/>
  <c r="A313" i="1" s="1"/>
  <c r="T304" i="1"/>
  <c r="A304" i="1" s="1"/>
  <c r="Y303" i="1"/>
  <c r="B303" i="1" s="1"/>
  <c r="Y302" i="1"/>
  <c r="B302" i="1" s="1"/>
  <c r="Y301" i="1"/>
  <c r="Y300" i="1"/>
  <c r="B300" i="1" s="1"/>
  <c r="Y299" i="1"/>
  <c r="B299" i="1" s="1"/>
  <c r="Y298" i="1"/>
  <c r="B298" i="1" s="1"/>
  <c r="Y297" i="1"/>
  <c r="B297" i="1" s="1"/>
  <c r="Y296" i="1"/>
  <c r="B296" i="1" s="1"/>
  <c r="Y295" i="1"/>
  <c r="Y294" i="1"/>
  <c r="B294" i="1" s="1"/>
  <c r="B301" i="1"/>
  <c r="B295" i="1"/>
  <c r="A298" i="1"/>
  <c r="T295" i="1"/>
  <c r="A295" i="1" s="1"/>
  <c r="T296" i="1"/>
  <c r="A296" i="1" s="1"/>
  <c r="T297" i="1"/>
  <c r="A297" i="1" s="1"/>
  <c r="T298" i="1"/>
  <c r="T299" i="1"/>
  <c r="A299" i="1" s="1"/>
  <c r="T300" i="1"/>
  <c r="A300" i="1" s="1"/>
  <c r="T301" i="1"/>
  <c r="A301" i="1" s="1"/>
  <c r="T302" i="1"/>
  <c r="A302" i="1" s="1"/>
  <c r="T303" i="1"/>
  <c r="A303" i="1" s="1"/>
  <c r="T294" i="1"/>
  <c r="A294" i="1" s="1"/>
  <c r="Y284" i="1"/>
  <c r="B284" i="1" s="1"/>
  <c r="Y285" i="1"/>
  <c r="B285" i="1" s="1"/>
  <c r="Y286" i="1"/>
  <c r="B286" i="1" s="1"/>
  <c r="Y287" i="1"/>
  <c r="B287" i="1" s="1"/>
  <c r="Y288" i="1"/>
  <c r="B288" i="1" s="1"/>
  <c r="Y289" i="1"/>
  <c r="B289" i="1" s="1"/>
  <c r="Y290" i="1"/>
  <c r="B290" i="1" s="1"/>
  <c r="Y291" i="1"/>
  <c r="B291" i="1" s="1"/>
  <c r="Y292" i="1"/>
  <c r="B292" i="1" s="1"/>
  <c r="Y293" i="1"/>
  <c r="B293" i="1" s="1"/>
  <c r="T293" i="1"/>
  <c r="A293" i="1" s="1"/>
  <c r="T292" i="1"/>
  <c r="A292" i="1" s="1"/>
  <c r="T291" i="1"/>
  <c r="A291" i="1" s="1"/>
  <c r="T290" i="1"/>
  <c r="A290" i="1" s="1"/>
  <c r="T289" i="1"/>
  <c r="A289" i="1" s="1"/>
  <c r="T288" i="1"/>
  <c r="A288" i="1" s="1"/>
  <c r="T287" i="1"/>
  <c r="A287" i="1" s="1"/>
  <c r="T286" i="1"/>
  <c r="A286" i="1" s="1"/>
  <c r="T285" i="1"/>
  <c r="A285" i="1" s="1"/>
  <c r="T284" i="1"/>
  <c r="A284" i="1" s="1"/>
  <c r="Y276" i="1"/>
  <c r="B276" i="1" s="1"/>
  <c r="Y277" i="1"/>
  <c r="Y278" i="1"/>
  <c r="Y279" i="1"/>
  <c r="B279" i="1" s="1"/>
  <c r="Y280" i="1"/>
  <c r="B280" i="1" s="1"/>
  <c r="Y281" i="1"/>
  <c r="B281" i="1" s="1"/>
  <c r="Y282" i="1"/>
  <c r="B282" i="1" s="1"/>
  <c r="Y283" i="1"/>
  <c r="B283" i="1" s="1"/>
  <c r="AM275" i="1"/>
  <c r="AM274" i="1"/>
  <c r="Y274" i="1"/>
  <c r="B274" i="1" s="1"/>
  <c r="Y275" i="1"/>
  <c r="B275" i="1" s="1"/>
  <c r="B277" i="1"/>
  <c r="B278" i="1"/>
  <c r="G6" i="6"/>
  <c r="T275" i="1"/>
  <c r="A275" i="1" s="1"/>
  <c r="T276" i="1"/>
  <c r="A276" i="1" s="1"/>
  <c r="T277" i="1"/>
  <c r="A277" i="1" s="1"/>
  <c r="T278" i="1"/>
  <c r="A278" i="1" s="1"/>
  <c r="T279" i="1"/>
  <c r="A279" i="1" s="1"/>
  <c r="T280" i="1"/>
  <c r="A280" i="1" s="1"/>
  <c r="T281" i="1"/>
  <c r="A281" i="1" s="1"/>
  <c r="T282" i="1"/>
  <c r="A282" i="1" s="1"/>
  <c r="T283" i="1"/>
  <c r="A283" i="1" s="1"/>
  <c r="T274" i="1"/>
  <c r="A274" i="1" s="1"/>
  <c r="AM273" i="1"/>
  <c r="AM272" i="1"/>
  <c r="AM271" i="1"/>
  <c r="AM270" i="1"/>
  <c r="AM269" i="1"/>
  <c r="AM268" i="1"/>
  <c r="AM267" i="1"/>
  <c r="AM266" i="1"/>
  <c r="AM265" i="1"/>
  <c r="AM264" i="1"/>
  <c r="Y264" i="1"/>
  <c r="B264" i="1" s="1"/>
  <c r="Y265" i="1"/>
  <c r="B265" i="1" s="1"/>
  <c r="Y266" i="1"/>
  <c r="B266" i="1" s="1"/>
  <c r="Y267" i="1"/>
  <c r="B267" i="1" s="1"/>
  <c r="Y268" i="1"/>
  <c r="B268" i="1" s="1"/>
  <c r="Y269" i="1"/>
  <c r="B269" i="1" s="1"/>
  <c r="Y270" i="1"/>
  <c r="B270" i="1" s="1"/>
  <c r="Y271" i="1"/>
  <c r="B271" i="1" s="1"/>
  <c r="Y272" i="1"/>
  <c r="B272" i="1" s="1"/>
  <c r="Y273" i="1"/>
  <c r="B273" i="1" s="1"/>
  <c r="T264" i="1"/>
  <c r="A264" i="1" s="1"/>
  <c r="T265" i="1"/>
  <c r="A265" i="1" s="1"/>
  <c r="T266" i="1"/>
  <c r="A266" i="1" s="1"/>
  <c r="T267" i="1"/>
  <c r="A267" i="1" s="1"/>
  <c r="T268" i="1"/>
  <c r="A268" i="1" s="1"/>
  <c r="T269" i="1"/>
  <c r="A269" i="1" s="1"/>
  <c r="T270" i="1"/>
  <c r="A270" i="1" s="1"/>
  <c r="T271" i="1"/>
  <c r="A271" i="1" s="1"/>
  <c r="T272" i="1"/>
  <c r="A272" i="1" s="1"/>
  <c r="T273" i="1"/>
  <c r="A273" i="1" s="1"/>
  <c r="AM263" i="1" l="1"/>
  <c r="AM262" i="1"/>
  <c r="AM261" i="1"/>
  <c r="AM260" i="1"/>
  <c r="AM259" i="1"/>
  <c r="AM258" i="1"/>
  <c r="AM257" i="1"/>
  <c r="AM256" i="1"/>
  <c r="AM255" i="1"/>
  <c r="AM254" i="1"/>
  <c r="Y256" i="1"/>
  <c r="B256" i="1" s="1"/>
  <c r="Y257" i="1"/>
  <c r="B257" i="1" s="1"/>
  <c r="Y258" i="1"/>
  <c r="B258" i="1" s="1"/>
  <c r="Y259" i="1"/>
  <c r="B259" i="1" s="1"/>
  <c r="Y260" i="1"/>
  <c r="B260" i="1" s="1"/>
  <c r="Y261" i="1"/>
  <c r="B261" i="1" s="1"/>
  <c r="Y262" i="1"/>
  <c r="B262" i="1" s="1"/>
  <c r="Y263" i="1"/>
  <c r="B263" i="1" s="1"/>
  <c r="Y254" i="1"/>
  <c r="B254" i="1" s="1"/>
  <c r="Y255" i="1"/>
  <c r="B255" i="1" s="1"/>
  <c r="X17" i="4"/>
  <c r="B17" i="4" s="1"/>
  <c r="S17" i="4"/>
  <c r="A17" i="4" s="1"/>
  <c r="X16" i="4"/>
  <c r="S16" i="4"/>
  <c r="B16" i="4"/>
  <c r="A16" i="4"/>
  <c r="H3" i="6"/>
  <c r="G5" i="6"/>
  <c r="T255" i="1"/>
  <c r="A255" i="1" s="1"/>
  <c r="T256" i="1"/>
  <c r="A256" i="1" s="1"/>
  <c r="T257" i="1"/>
  <c r="A257" i="1" s="1"/>
  <c r="T258" i="1"/>
  <c r="A258" i="1" s="1"/>
  <c r="T259" i="1"/>
  <c r="A259" i="1" s="1"/>
  <c r="T260" i="1"/>
  <c r="A260" i="1" s="1"/>
  <c r="T261" i="1"/>
  <c r="A261" i="1" s="1"/>
  <c r="T262" i="1"/>
  <c r="A262" i="1" s="1"/>
  <c r="T263" i="1"/>
  <c r="A263" i="1" s="1"/>
  <c r="T254" i="1"/>
  <c r="A254" i="1" s="1"/>
  <c r="AM253" i="1" l="1"/>
  <c r="AM252" i="1"/>
  <c r="AM251" i="1"/>
  <c r="AM250" i="1"/>
  <c r="AM249" i="1"/>
  <c r="AM248" i="1"/>
  <c r="AM247" i="1"/>
  <c r="AM246" i="1"/>
  <c r="Y246" i="1"/>
  <c r="B246" i="1" s="1"/>
  <c r="Y247" i="1"/>
  <c r="B247" i="1" s="1"/>
  <c r="Y248" i="1"/>
  <c r="B248" i="1" s="1"/>
  <c r="Y249" i="1"/>
  <c r="B249" i="1" s="1"/>
  <c r="Y250" i="1"/>
  <c r="B250" i="1" s="1"/>
  <c r="Y251" i="1"/>
  <c r="B251" i="1" s="1"/>
  <c r="Y252" i="1"/>
  <c r="B252" i="1" s="1"/>
  <c r="Y253" i="1"/>
  <c r="B253" i="1" s="1"/>
  <c r="T247" i="1"/>
  <c r="A247" i="1" s="1"/>
  <c r="T248" i="1"/>
  <c r="A248" i="1" s="1"/>
  <c r="T249" i="1"/>
  <c r="A249" i="1" s="1"/>
  <c r="T250" i="1"/>
  <c r="A250" i="1" s="1"/>
  <c r="T251" i="1"/>
  <c r="A251" i="1" s="1"/>
  <c r="T252" i="1"/>
  <c r="A252" i="1" s="1"/>
  <c r="T253" i="1"/>
  <c r="A253" i="1" s="1"/>
  <c r="T246" i="1"/>
  <c r="A246" i="1" s="1"/>
  <c r="AM242" i="1"/>
  <c r="AM243" i="1"/>
  <c r="AM244" i="1"/>
  <c r="AM245" i="1"/>
  <c r="AM241" i="1"/>
  <c r="AM240" i="1"/>
  <c r="AM239" i="1"/>
  <c r="AM238" i="1"/>
  <c r="AM237" i="1"/>
  <c r="AM236" i="1"/>
  <c r="Y236" i="1"/>
  <c r="B236" i="1" s="1"/>
  <c r="Y237" i="1"/>
  <c r="B237" i="1" s="1"/>
  <c r="Y238" i="1"/>
  <c r="B238" i="1" s="1"/>
  <c r="Y239" i="1"/>
  <c r="B239" i="1" s="1"/>
  <c r="Y240" i="1"/>
  <c r="B240" i="1" s="1"/>
  <c r="Y241" i="1"/>
  <c r="B241" i="1" s="1"/>
  <c r="Y242" i="1"/>
  <c r="B242" i="1" s="1"/>
  <c r="Y243" i="1"/>
  <c r="B243" i="1" s="1"/>
  <c r="Y244" i="1"/>
  <c r="B244" i="1" s="1"/>
  <c r="Y245" i="1"/>
  <c r="B245" i="1" s="1"/>
  <c r="T244" i="1"/>
  <c r="A244" i="1" s="1"/>
  <c r="T245" i="1"/>
  <c r="A245" i="1" s="1"/>
  <c r="H2" i="6"/>
  <c r="T243" i="1"/>
  <c r="A243" i="1" s="1"/>
  <c r="T242" i="1"/>
  <c r="A242" i="1" s="1"/>
  <c r="T241" i="1"/>
  <c r="A241" i="1" s="1"/>
  <c r="T240" i="1"/>
  <c r="A240" i="1" s="1"/>
  <c r="T238" i="1"/>
  <c r="A238" i="1" s="1"/>
  <c r="T239" i="1"/>
  <c r="A239" i="1" s="1"/>
  <c r="I3" i="6"/>
  <c r="T237" i="1"/>
  <c r="A237" i="1" s="1"/>
  <c r="T236" i="1"/>
  <c r="A236" i="1" s="1"/>
  <c r="AM235" i="1"/>
  <c r="AM234" i="1"/>
  <c r="AM233" i="1"/>
  <c r="AM232" i="1"/>
  <c r="AM231" i="1"/>
  <c r="AM230" i="1"/>
  <c r="AM229" i="1"/>
  <c r="AM228" i="1"/>
  <c r="AM227" i="1"/>
  <c r="AM226" i="1"/>
  <c r="Y227" i="1"/>
  <c r="B227" i="1" s="1"/>
  <c r="Y228" i="1"/>
  <c r="B228" i="1" s="1"/>
  <c r="Y229" i="1"/>
  <c r="B229" i="1" s="1"/>
  <c r="Y230" i="1"/>
  <c r="B230" i="1" s="1"/>
  <c r="Y231" i="1"/>
  <c r="B231" i="1" s="1"/>
  <c r="Y232" i="1"/>
  <c r="B232" i="1" s="1"/>
  <c r="Y233" i="1"/>
  <c r="B233" i="1" s="1"/>
  <c r="Y234" i="1"/>
  <c r="B234" i="1" s="1"/>
  <c r="Y235" i="1"/>
  <c r="B235" i="1" s="1"/>
  <c r="T227" i="1"/>
  <c r="A227" i="1" s="1"/>
  <c r="T228" i="1"/>
  <c r="A228" i="1" s="1"/>
  <c r="T229" i="1"/>
  <c r="A229" i="1" s="1"/>
  <c r="T230" i="1"/>
  <c r="A230" i="1" s="1"/>
  <c r="T231" i="1"/>
  <c r="A231" i="1" s="1"/>
  <c r="T232" i="1"/>
  <c r="A232" i="1" s="1"/>
  <c r="T233" i="1"/>
  <c r="A233" i="1" s="1"/>
  <c r="T234" i="1"/>
  <c r="A234" i="1" s="1"/>
  <c r="T235" i="1"/>
  <c r="A235" i="1" s="1"/>
  <c r="Y226" i="1"/>
  <c r="B226" i="1" s="1"/>
  <c r="F4" i="6"/>
  <c r="F5" i="6"/>
  <c r="G3" i="6"/>
  <c r="T226" i="1"/>
  <c r="A226" i="1" s="1"/>
  <c r="J3" i="6"/>
  <c r="G4" i="6"/>
  <c r="AM225" i="1"/>
  <c r="AM224" i="1"/>
  <c r="AM223" i="1"/>
  <c r="AM222" i="1"/>
  <c r="AM221" i="1"/>
  <c r="AM220" i="1"/>
  <c r="AM219" i="1"/>
  <c r="AM218" i="1"/>
  <c r="X15" i="4"/>
  <c r="B15" i="4" s="1"/>
  <c r="S15" i="4"/>
  <c r="A15" i="4" s="1"/>
  <c r="X14" i="4"/>
  <c r="B14" i="4" s="1"/>
  <c r="S14" i="4"/>
  <c r="A14" i="4" s="1"/>
  <c r="E4" i="6"/>
  <c r="Y218" i="1"/>
  <c r="B218" i="1" s="1"/>
  <c r="Y219" i="1"/>
  <c r="B219" i="1" s="1"/>
  <c r="Y220" i="1"/>
  <c r="B220" i="1" s="1"/>
  <c r="Y221" i="1"/>
  <c r="B221" i="1" s="1"/>
  <c r="Y222" i="1"/>
  <c r="B222" i="1" s="1"/>
  <c r="Y223" i="1"/>
  <c r="B223" i="1" s="1"/>
  <c r="Y224" i="1"/>
  <c r="B224" i="1" s="1"/>
  <c r="Y225" i="1"/>
  <c r="B225" i="1" s="1"/>
  <c r="T218" i="1"/>
  <c r="A218" i="1" s="1"/>
  <c r="T219" i="1"/>
  <c r="A219" i="1" s="1"/>
  <c r="T220" i="1"/>
  <c r="A220" i="1" s="1"/>
  <c r="T221" i="1"/>
  <c r="A221" i="1" s="1"/>
  <c r="T222" i="1"/>
  <c r="A222" i="1" s="1"/>
  <c r="T223" i="1"/>
  <c r="A223" i="1" s="1"/>
  <c r="T224" i="1"/>
  <c r="A224" i="1" s="1"/>
  <c r="T225" i="1"/>
  <c r="A225" i="1" s="1"/>
  <c r="Y3" i="1"/>
  <c r="B3" i="1" s="1"/>
  <c r="Y4" i="1"/>
  <c r="B4" i="1" s="1"/>
  <c r="Y5" i="1"/>
  <c r="B5" i="1" s="1"/>
  <c r="Y6" i="1"/>
  <c r="B6" i="1" s="1"/>
  <c r="Y7" i="1"/>
  <c r="B7" i="1" s="1"/>
  <c r="Y8" i="1"/>
  <c r="B8" i="1" s="1"/>
  <c r="Y9" i="1"/>
  <c r="B9" i="1" s="1"/>
  <c r="Y10" i="1"/>
  <c r="B10" i="1" s="1"/>
  <c r="Y11" i="1"/>
  <c r="B11" i="1" s="1"/>
  <c r="Y12" i="1"/>
  <c r="B12" i="1" s="1"/>
  <c r="Y13" i="1"/>
  <c r="B13" i="1" s="1"/>
  <c r="Y14" i="1"/>
  <c r="B14" i="1" s="1"/>
  <c r="Y15" i="1"/>
  <c r="B15" i="1" s="1"/>
  <c r="Y16" i="1"/>
  <c r="B16" i="1" s="1"/>
  <c r="Y17" i="1"/>
  <c r="B17" i="1" s="1"/>
  <c r="Y18" i="1"/>
  <c r="B18" i="1" s="1"/>
  <c r="Y19" i="1"/>
  <c r="B19" i="1" s="1"/>
  <c r="Y20" i="1"/>
  <c r="B20" i="1" s="1"/>
  <c r="Y21" i="1"/>
  <c r="B21" i="1" s="1"/>
  <c r="Y22" i="1"/>
  <c r="B22" i="1" s="1"/>
  <c r="Y23" i="1"/>
  <c r="B23" i="1" s="1"/>
  <c r="Y24" i="1"/>
  <c r="B24" i="1" s="1"/>
  <c r="Y25" i="1"/>
  <c r="B25" i="1" s="1"/>
  <c r="Y26" i="1"/>
  <c r="B26" i="1" s="1"/>
  <c r="Y27" i="1"/>
  <c r="B27" i="1" s="1"/>
  <c r="Y28" i="1"/>
  <c r="B28" i="1" s="1"/>
  <c r="Y29" i="1"/>
  <c r="B29" i="1" s="1"/>
  <c r="Y30" i="1"/>
  <c r="B30" i="1" s="1"/>
  <c r="Y31" i="1"/>
  <c r="B31" i="1" s="1"/>
  <c r="Y32" i="1"/>
  <c r="B32" i="1" s="1"/>
  <c r="Y33" i="1"/>
  <c r="B33" i="1" s="1"/>
  <c r="Y34" i="1"/>
  <c r="B34" i="1" s="1"/>
  <c r="Y35" i="1"/>
  <c r="B35" i="1" s="1"/>
  <c r="Y36" i="1"/>
  <c r="B36" i="1" s="1"/>
  <c r="Y37" i="1"/>
  <c r="B37" i="1" s="1"/>
  <c r="Y38" i="1"/>
  <c r="B38" i="1" s="1"/>
  <c r="Y39" i="1"/>
  <c r="B39" i="1" s="1"/>
  <c r="Y40" i="1"/>
  <c r="B40" i="1" s="1"/>
  <c r="Y41" i="1"/>
  <c r="B41" i="1" s="1"/>
  <c r="Y42" i="1"/>
  <c r="B42" i="1" s="1"/>
  <c r="Y43" i="1"/>
  <c r="B43" i="1" s="1"/>
  <c r="Y44" i="1"/>
  <c r="B44" i="1" s="1"/>
  <c r="Y45" i="1"/>
  <c r="B45" i="1" s="1"/>
  <c r="Y46" i="1"/>
  <c r="B46" i="1" s="1"/>
  <c r="Y47" i="1"/>
  <c r="B47" i="1" s="1"/>
  <c r="Y48" i="1"/>
  <c r="B48" i="1" s="1"/>
  <c r="Y49" i="1"/>
  <c r="B49" i="1" s="1"/>
  <c r="Y50" i="1"/>
  <c r="B50" i="1" s="1"/>
  <c r="Y51" i="1"/>
  <c r="B51" i="1" s="1"/>
  <c r="Y52" i="1"/>
  <c r="B52" i="1" s="1"/>
  <c r="Y53" i="1"/>
  <c r="B53" i="1" s="1"/>
  <c r="Y54" i="1"/>
  <c r="B54" i="1" s="1"/>
  <c r="Y55" i="1"/>
  <c r="B55" i="1" s="1"/>
  <c r="Y56" i="1"/>
  <c r="B56" i="1" s="1"/>
  <c r="Y57" i="1"/>
  <c r="B57" i="1" s="1"/>
  <c r="Y58" i="1"/>
  <c r="B58" i="1" s="1"/>
  <c r="Y59" i="1"/>
  <c r="B59" i="1" s="1"/>
  <c r="Y60" i="1"/>
  <c r="B60" i="1" s="1"/>
  <c r="Y61" i="1"/>
  <c r="B61" i="1" s="1"/>
  <c r="Y62" i="1"/>
  <c r="B62" i="1" s="1"/>
  <c r="Y63" i="1"/>
  <c r="B63" i="1" s="1"/>
  <c r="Y64" i="1"/>
  <c r="B64" i="1" s="1"/>
  <c r="Y65" i="1"/>
  <c r="B65" i="1" s="1"/>
  <c r="Y66" i="1"/>
  <c r="B66" i="1" s="1"/>
  <c r="Y67" i="1"/>
  <c r="B67" i="1" s="1"/>
  <c r="Y68" i="1"/>
  <c r="B68" i="1" s="1"/>
  <c r="Y69" i="1"/>
  <c r="B69" i="1" s="1"/>
  <c r="Y70" i="1"/>
  <c r="B70" i="1" s="1"/>
  <c r="Y71" i="1"/>
  <c r="B71" i="1" s="1"/>
  <c r="Y72" i="1"/>
  <c r="B72" i="1" s="1"/>
  <c r="Y73" i="1"/>
  <c r="B73" i="1" s="1"/>
  <c r="Y74" i="1"/>
  <c r="B74" i="1" s="1"/>
  <c r="Y75" i="1"/>
  <c r="B75" i="1" s="1"/>
  <c r="Y76" i="1"/>
  <c r="B76" i="1" s="1"/>
  <c r="Y77" i="1"/>
  <c r="B77" i="1" s="1"/>
  <c r="Y78" i="1"/>
  <c r="B78" i="1" s="1"/>
  <c r="Y79" i="1"/>
  <c r="B79" i="1" s="1"/>
  <c r="Y80" i="1"/>
  <c r="B80" i="1" s="1"/>
  <c r="Y81" i="1"/>
  <c r="B81" i="1" s="1"/>
  <c r="Y82" i="1"/>
  <c r="B82" i="1" s="1"/>
  <c r="Y83" i="1"/>
  <c r="B83" i="1" s="1"/>
  <c r="Y84" i="1"/>
  <c r="B84" i="1" s="1"/>
  <c r="Y85" i="1"/>
  <c r="B85" i="1" s="1"/>
  <c r="Y86" i="1"/>
  <c r="B86" i="1" s="1"/>
  <c r="Y87" i="1"/>
  <c r="B87" i="1" s="1"/>
  <c r="Y88" i="1"/>
  <c r="B88" i="1" s="1"/>
  <c r="Y89" i="1"/>
  <c r="B89" i="1" s="1"/>
  <c r="Y90" i="1"/>
  <c r="B90" i="1" s="1"/>
  <c r="Y91" i="1"/>
  <c r="B91" i="1" s="1"/>
  <c r="Y92" i="1"/>
  <c r="B92" i="1" s="1"/>
  <c r="Y93" i="1"/>
  <c r="B93" i="1" s="1"/>
  <c r="Y94" i="1"/>
  <c r="B94" i="1" s="1"/>
  <c r="Y95" i="1"/>
  <c r="B95" i="1" s="1"/>
  <c r="Y96" i="1"/>
  <c r="B96" i="1" s="1"/>
  <c r="Y97" i="1"/>
  <c r="B97" i="1" s="1"/>
  <c r="Y98" i="1"/>
  <c r="B98" i="1" s="1"/>
  <c r="Y99" i="1"/>
  <c r="B99" i="1" s="1"/>
  <c r="Y100" i="1"/>
  <c r="B100" i="1" s="1"/>
  <c r="Y101" i="1"/>
  <c r="B101" i="1" s="1"/>
  <c r="Y102" i="1"/>
  <c r="B102" i="1" s="1"/>
  <c r="Y103" i="1"/>
  <c r="B103" i="1" s="1"/>
  <c r="Y104" i="1"/>
  <c r="B104" i="1" s="1"/>
  <c r="Y105" i="1"/>
  <c r="B105" i="1" s="1"/>
  <c r="Y106" i="1"/>
  <c r="B106" i="1" s="1"/>
  <c r="Y107" i="1"/>
  <c r="B107" i="1" s="1"/>
  <c r="Y108" i="1"/>
  <c r="B108" i="1" s="1"/>
  <c r="Y109" i="1"/>
  <c r="B109" i="1" s="1"/>
  <c r="Y110" i="1"/>
  <c r="B110" i="1" s="1"/>
  <c r="Y111" i="1"/>
  <c r="B111" i="1" s="1"/>
  <c r="Y112" i="1"/>
  <c r="B112" i="1" s="1"/>
  <c r="Y113" i="1"/>
  <c r="B113" i="1" s="1"/>
  <c r="Y114" i="1"/>
  <c r="B114" i="1" s="1"/>
  <c r="Y115" i="1"/>
  <c r="B115" i="1" s="1"/>
  <c r="Y116" i="1"/>
  <c r="B116" i="1" s="1"/>
  <c r="Y117" i="1"/>
  <c r="B117" i="1" s="1"/>
  <c r="Y118" i="1"/>
  <c r="B118" i="1" s="1"/>
  <c r="Y119" i="1"/>
  <c r="B119" i="1" s="1"/>
  <c r="Y120" i="1"/>
  <c r="B120" i="1" s="1"/>
  <c r="Y121" i="1"/>
  <c r="B121" i="1" s="1"/>
  <c r="Y122" i="1"/>
  <c r="B122" i="1" s="1"/>
  <c r="Y123" i="1"/>
  <c r="B123" i="1" s="1"/>
  <c r="Y124" i="1"/>
  <c r="B124" i="1" s="1"/>
  <c r="Y125" i="1"/>
  <c r="B125" i="1" s="1"/>
  <c r="Y126" i="1"/>
  <c r="B126" i="1" s="1"/>
  <c r="Y127" i="1"/>
  <c r="B127" i="1" s="1"/>
  <c r="Y128" i="1"/>
  <c r="B128" i="1" s="1"/>
  <c r="Y129" i="1"/>
  <c r="B129" i="1" s="1"/>
  <c r="Y130" i="1"/>
  <c r="B130" i="1" s="1"/>
  <c r="Y131" i="1"/>
  <c r="B131" i="1" s="1"/>
  <c r="Y132" i="1"/>
  <c r="B132" i="1" s="1"/>
  <c r="Y133" i="1"/>
  <c r="B133" i="1" s="1"/>
  <c r="Y134" i="1"/>
  <c r="B134" i="1" s="1"/>
  <c r="Y135" i="1"/>
  <c r="B135" i="1" s="1"/>
  <c r="Y136" i="1"/>
  <c r="B136" i="1" s="1"/>
  <c r="Y137" i="1"/>
  <c r="B137" i="1" s="1"/>
  <c r="Y138" i="1"/>
  <c r="B138" i="1" s="1"/>
  <c r="Y139" i="1"/>
  <c r="B139" i="1" s="1"/>
  <c r="Y140" i="1"/>
  <c r="B140" i="1" s="1"/>
  <c r="Y141" i="1"/>
  <c r="B141" i="1" s="1"/>
  <c r="Y142" i="1"/>
  <c r="B142" i="1" s="1"/>
  <c r="Y143" i="1"/>
  <c r="B143" i="1" s="1"/>
  <c r="Y144" i="1"/>
  <c r="B144" i="1" s="1"/>
  <c r="Y145" i="1"/>
  <c r="B145" i="1" s="1"/>
  <c r="Y146" i="1"/>
  <c r="B146" i="1" s="1"/>
  <c r="Y147" i="1"/>
  <c r="B147" i="1" s="1"/>
  <c r="Y148" i="1"/>
  <c r="B148" i="1" s="1"/>
  <c r="Y149" i="1"/>
  <c r="B149" i="1" s="1"/>
  <c r="Y150" i="1"/>
  <c r="B150" i="1" s="1"/>
  <c r="Y151" i="1"/>
  <c r="B151" i="1" s="1"/>
  <c r="Y152" i="1"/>
  <c r="B152" i="1" s="1"/>
  <c r="Y153" i="1"/>
  <c r="B153" i="1" s="1"/>
  <c r="Y154" i="1"/>
  <c r="B154" i="1" s="1"/>
  <c r="Y155" i="1"/>
  <c r="B155" i="1" s="1"/>
  <c r="Y156" i="1"/>
  <c r="B156" i="1" s="1"/>
  <c r="Y157" i="1"/>
  <c r="B157" i="1" s="1"/>
  <c r="Y158" i="1"/>
  <c r="B158" i="1" s="1"/>
  <c r="Y159" i="1"/>
  <c r="B159" i="1" s="1"/>
  <c r="Y160" i="1"/>
  <c r="B160" i="1" s="1"/>
  <c r="Y161" i="1"/>
  <c r="B161" i="1" s="1"/>
  <c r="Y162" i="1"/>
  <c r="B162" i="1" s="1"/>
  <c r="Y163" i="1"/>
  <c r="B163" i="1" s="1"/>
  <c r="Y164" i="1"/>
  <c r="B164" i="1" s="1"/>
  <c r="Y165" i="1"/>
  <c r="B165" i="1" s="1"/>
  <c r="Y166" i="1"/>
  <c r="B166" i="1" s="1"/>
  <c r="Y167" i="1"/>
  <c r="B167" i="1" s="1"/>
  <c r="Y168" i="1"/>
  <c r="B168" i="1" s="1"/>
  <c r="Y169" i="1"/>
  <c r="B169" i="1" s="1"/>
  <c r="Y170" i="1"/>
  <c r="B170" i="1" s="1"/>
  <c r="Y171" i="1"/>
  <c r="B171" i="1" s="1"/>
  <c r="Y172" i="1"/>
  <c r="B172" i="1" s="1"/>
  <c r="Y173" i="1"/>
  <c r="B173" i="1" s="1"/>
  <c r="Y174" i="1"/>
  <c r="B174" i="1" s="1"/>
  <c r="Y175" i="1"/>
  <c r="B175" i="1" s="1"/>
  <c r="Y176" i="1"/>
  <c r="B176" i="1" s="1"/>
  <c r="Y177" i="1"/>
  <c r="B177" i="1" s="1"/>
  <c r="Y178" i="1"/>
  <c r="B178" i="1" s="1"/>
  <c r="Y179" i="1"/>
  <c r="B179" i="1" s="1"/>
  <c r="Y180" i="1"/>
  <c r="B180" i="1" s="1"/>
  <c r="Y181" i="1"/>
  <c r="B181" i="1" s="1"/>
  <c r="Y182" i="1"/>
  <c r="B182" i="1" s="1"/>
  <c r="Y183" i="1"/>
  <c r="B183" i="1" s="1"/>
  <c r="Y184" i="1"/>
  <c r="B184" i="1" s="1"/>
  <c r="Y185" i="1"/>
  <c r="B185" i="1" s="1"/>
  <c r="Y186" i="1"/>
  <c r="B186" i="1" s="1"/>
  <c r="Y187" i="1"/>
  <c r="B187" i="1" s="1"/>
  <c r="Y188" i="1"/>
  <c r="B188" i="1" s="1"/>
  <c r="Y189" i="1"/>
  <c r="B189" i="1" s="1"/>
  <c r="Y190" i="1"/>
  <c r="B190" i="1" s="1"/>
  <c r="Y191" i="1"/>
  <c r="B191" i="1" s="1"/>
  <c r="Y192" i="1"/>
  <c r="B192" i="1" s="1"/>
  <c r="Y193" i="1"/>
  <c r="B193" i="1" s="1"/>
  <c r="Y194" i="1"/>
  <c r="B194" i="1" s="1"/>
  <c r="Y195" i="1"/>
  <c r="B195" i="1" s="1"/>
  <c r="Y196" i="1"/>
  <c r="B196" i="1" s="1"/>
  <c r="Y197" i="1"/>
  <c r="B197" i="1" s="1"/>
  <c r="Y198" i="1"/>
  <c r="B198" i="1" s="1"/>
  <c r="Y199" i="1"/>
  <c r="B199" i="1" s="1"/>
  <c r="Y200" i="1"/>
  <c r="B200" i="1" s="1"/>
  <c r="Y201" i="1"/>
  <c r="B201" i="1" s="1"/>
  <c r="Y202" i="1"/>
  <c r="B202" i="1" s="1"/>
  <c r="Y203" i="1"/>
  <c r="B203" i="1" s="1"/>
  <c r="Y204" i="1"/>
  <c r="B204" i="1" s="1"/>
  <c r="Y205" i="1"/>
  <c r="B205" i="1" s="1"/>
  <c r="Y206" i="1"/>
  <c r="B206" i="1" s="1"/>
  <c r="Y207" i="1"/>
  <c r="B207" i="1" s="1"/>
  <c r="Y208" i="1"/>
  <c r="B208" i="1" s="1"/>
  <c r="Y209" i="1"/>
  <c r="B209" i="1" s="1"/>
  <c r="Y210" i="1"/>
  <c r="B210" i="1" s="1"/>
  <c r="Y211" i="1"/>
  <c r="B211" i="1" s="1"/>
  <c r="Y212" i="1"/>
  <c r="B212" i="1" s="1"/>
  <c r="Y213" i="1"/>
  <c r="B213" i="1" s="1"/>
  <c r="Y214" i="1"/>
  <c r="B214" i="1" s="1"/>
  <c r="Y215" i="1"/>
  <c r="B215" i="1" s="1"/>
  <c r="Y216" i="1"/>
  <c r="B216" i="1" s="1"/>
  <c r="Y217" i="1"/>
  <c r="B217" i="1" s="1"/>
  <c r="Y2" i="1"/>
  <c r="B2" i="1" s="1"/>
  <c r="T2" i="1"/>
  <c r="A2" i="1" s="1"/>
  <c r="T3" i="1"/>
  <c r="A3" i="1" s="1"/>
  <c r="T4" i="1"/>
  <c r="A4" i="1" s="1"/>
  <c r="T5" i="1"/>
  <c r="A5" i="1" s="1"/>
  <c r="T6" i="1"/>
  <c r="A6" i="1" s="1"/>
  <c r="T7" i="1"/>
  <c r="A7" i="1" s="1"/>
  <c r="T8" i="1"/>
  <c r="A8" i="1" s="1"/>
  <c r="T9" i="1"/>
  <c r="A9" i="1" s="1"/>
  <c r="T10" i="1"/>
  <c r="A10" i="1" s="1"/>
  <c r="T11" i="1"/>
  <c r="A11" i="1" s="1"/>
  <c r="T12" i="1"/>
  <c r="A12" i="1" s="1"/>
  <c r="T13" i="1"/>
  <c r="A13" i="1" s="1"/>
  <c r="T14" i="1"/>
  <c r="A14" i="1" s="1"/>
  <c r="T15" i="1"/>
  <c r="A15" i="1" s="1"/>
  <c r="T16" i="1"/>
  <c r="A16" i="1" s="1"/>
  <c r="T17" i="1"/>
  <c r="A17" i="1" s="1"/>
  <c r="T18" i="1"/>
  <c r="A18" i="1" s="1"/>
  <c r="T19" i="1"/>
  <c r="A19" i="1" s="1"/>
  <c r="T20" i="1"/>
  <c r="A20" i="1" s="1"/>
  <c r="T21" i="1"/>
  <c r="A21" i="1" s="1"/>
  <c r="T22" i="1"/>
  <c r="A22" i="1" s="1"/>
  <c r="T23" i="1"/>
  <c r="A23" i="1" s="1"/>
  <c r="T24" i="1"/>
  <c r="A24" i="1" s="1"/>
  <c r="T25" i="1"/>
  <c r="A25" i="1" s="1"/>
  <c r="T26" i="1"/>
  <c r="A26" i="1" s="1"/>
  <c r="T27" i="1"/>
  <c r="A27" i="1" s="1"/>
  <c r="T28" i="1"/>
  <c r="A28" i="1" s="1"/>
  <c r="T29" i="1"/>
  <c r="A29" i="1" s="1"/>
  <c r="T30" i="1"/>
  <c r="A30" i="1" s="1"/>
  <c r="T31" i="1"/>
  <c r="A31" i="1" s="1"/>
  <c r="T32" i="1"/>
  <c r="A32" i="1" s="1"/>
  <c r="T33" i="1"/>
  <c r="A33" i="1" s="1"/>
  <c r="T34" i="1"/>
  <c r="A34" i="1" s="1"/>
  <c r="T35" i="1"/>
  <c r="A35" i="1" s="1"/>
  <c r="T36" i="1"/>
  <c r="A36" i="1" s="1"/>
  <c r="T37" i="1"/>
  <c r="A37" i="1" s="1"/>
  <c r="T38" i="1"/>
  <c r="A38" i="1" s="1"/>
  <c r="T39" i="1"/>
  <c r="A39" i="1" s="1"/>
  <c r="T40" i="1"/>
  <c r="A40" i="1" s="1"/>
  <c r="T41" i="1"/>
  <c r="A41" i="1" s="1"/>
  <c r="T42" i="1"/>
  <c r="A42" i="1" s="1"/>
  <c r="T43" i="1"/>
  <c r="A43" i="1" s="1"/>
  <c r="T44" i="1"/>
  <c r="A44" i="1" s="1"/>
  <c r="T45" i="1"/>
  <c r="A45" i="1" s="1"/>
  <c r="T46" i="1"/>
  <c r="A46" i="1" s="1"/>
  <c r="T47" i="1"/>
  <c r="A47" i="1" s="1"/>
  <c r="T48" i="1"/>
  <c r="A48" i="1" s="1"/>
  <c r="T49" i="1"/>
  <c r="A49" i="1" s="1"/>
  <c r="T50" i="1"/>
  <c r="A50" i="1" s="1"/>
  <c r="T51" i="1"/>
  <c r="A51" i="1" s="1"/>
  <c r="T52" i="1"/>
  <c r="A52" i="1" s="1"/>
  <c r="T53" i="1"/>
  <c r="A53" i="1" s="1"/>
  <c r="T54" i="1"/>
  <c r="A54" i="1" s="1"/>
  <c r="T55" i="1"/>
  <c r="A55" i="1" s="1"/>
  <c r="T56" i="1"/>
  <c r="A56" i="1" s="1"/>
  <c r="T57" i="1"/>
  <c r="A57" i="1" s="1"/>
  <c r="T58" i="1"/>
  <c r="A58" i="1" s="1"/>
  <c r="T59" i="1"/>
  <c r="A59" i="1" s="1"/>
  <c r="T60" i="1"/>
  <c r="A60" i="1" s="1"/>
  <c r="T61" i="1"/>
  <c r="A61" i="1" s="1"/>
  <c r="T62" i="1"/>
  <c r="A62" i="1" s="1"/>
  <c r="T63" i="1"/>
  <c r="A63" i="1" s="1"/>
  <c r="T64" i="1"/>
  <c r="A64" i="1" s="1"/>
  <c r="T65" i="1"/>
  <c r="A65" i="1" s="1"/>
  <c r="T66" i="1"/>
  <c r="A66" i="1" s="1"/>
  <c r="T67" i="1"/>
  <c r="A67" i="1" s="1"/>
  <c r="T68" i="1"/>
  <c r="A68" i="1" s="1"/>
  <c r="T69" i="1"/>
  <c r="A69" i="1" s="1"/>
  <c r="T70" i="1"/>
  <c r="A70" i="1" s="1"/>
  <c r="T71" i="1"/>
  <c r="A71" i="1" s="1"/>
  <c r="T72" i="1"/>
  <c r="A72" i="1" s="1"/>
  <c r="T73" i="1"/>
  <c r="A73" i="1" s="1"/>
  <c r="T74" i="1"/>
  <c r="A74" i="1" s="1"/>
  <c r="T75" i="1"/>
  <c r="A75" i="1" s="1"/>
  <c r="T76" i="1"/>
  <c r="A76" i="1" s="1"/>
  <c r="T77" i="1"/>
  <c r="A77" i="1" s="1"/>
  <c r="T78" i="1"/>
  <c r="A78" i="1" s="1"/>
  <c r="T79" i="1"/>
  <c r="A79" i="1" s="1"/>
  <c r="T80" i="1"/>
  <c r="A80" i="1" s="1"/>
  <c r="T81" i="1"/>
  <c r="A81" i="1" s="1"/>
  <c r="T82" i="1"/>
  <c r="A82" i="1" s="1"/>
  <c r="T83" i="1"/>
  <c r="A83" i="1" s="1"/>
  <c r="T84" i="1"/>
  <c r="A84" i="1" s="1"/>
  <c r="T85" i="1"/>
  <c r="A85" i="1" s="1"/>
  <c r="T86" i="1"/>
  <c r="A86" i="1" s="1"/>
  <c r="T87" i="1"/>
  <c r="A87" i="1" s="1"/>
  <c r="T88" i="1"/>
  <c r="A88" i="1" s="1"/>
  <c r="T89" i="1"/>
  <c r="A89" i="1" s="1"/>
  <c r="T90" i="1"/>
  <c r="A90" i="1" s="1"/>
  <c r="T91" i="1"/>
  <c r="A91" i="1" s="1"/>
  <c r="T92" i="1"/>
  <c r="A92" i="1" s="1"/>
  <c r="T93" i="1"/>
  <c r="A93" i="1" s="1"/>
  <c r="T94" i="1"/>
  <c r="A94" i="1" s="1"/>
  <c r="T95" i="1"/>
  <c r="A95" i="1" s="1"/>
  <c r="T96" i="1"/>
  <c r="A96" i="1" s="1"/>
  <c r="T97" i="1"/>
  <c r="A97" i="1" s="1"/>
  <c r="T98" i="1"/>
  <c r="A98" i="1" s="1"/>
  <c r="T99" i="1"/>
  <c r="A99" i="1" s="1"/>
  <c r="T100" i="1"/>
  <c r="A100" i="1" s="1"/>
  <c r="T101" i="1"/>
  <c r="A101" i="1" s="1"/>
  <c r="T102" i="1"/>
  <c r="A102" i="1" s="1"/>
  <c r="T103" i="1"/>
  <c r="A103" i="1" s="1"/>
  <c r="T104" i="1"/>
  <c r="A104" i="1" s="1"/>
  <c r="T105" i="1"/>
  <c r="A105" i="1" s="1"/>
  <c r="T106" i="1"/>
  <c r="A106" i="1" s="1"/>
  <c r="T107" i="1"/>
  <c r="A107" i="1" s="1"/>
  <c r="T108" i="1"/>
  <c r="A108" i="1" s="1"/>
  <c r="T109" i="1"/>
  <c r="A109" i="1" s="1"/>
  <c r="T110" i="1"/>
  <c r="A110" i="1" s="1"/>
  <c r="T111" i="1"/>
  <c r="A111" i="1" s="1"/>
  <c r="T112" i="1"/>
  <c r="A112" i="1" s="1"/>
  <c r="T113" i="1"/>
  <c r="A113" i="1" s="1"/>
  <c r="T114" i="1"/>
  <c r="A114" i="1" s="1"/>
  <c r="T115" i="1"/>
  <c r="A115" i="1" s="1"/>
  <c r="T116" i="1"/>
  <c r="A116" i="1" s="1"/>
  <c r="T117" i="1"/>
  <c r="A117" i="1" s="1"/>
  <c r="T118" i="1"/>
  <c r="A118" i="1" s="1"/>
  <c r="T119" i="1"/>
  <c r="A119" i="1" s="1"/>
  <c r="T120" i="1"/>
  <c r="A120" i="1" s="1"/>
  <c r="T121" i="1"/>
  <c r="A121" i="1" s="1"/>
  <c r="T122" i="1"/>
  <c r="A122" i="1" s="1"/>
  <c r="T123" i="1"/>
  <c r="A123" i="1" s="1"/>
  <c r="T124" i="1"/>
  <c r="A124" i="1" s="1"/>
  <c r="T125" i="1"/>
  <c r="A125" i="1" s="1"/>
  <c r="T126" i="1"/>
  <c r="A126" i="1" s="1"/>
  <c r="T127" i="1"/>
  <c r="A127" i="1" s="1"/>
  <c r="T128" i="1"/>
  <c r="A128" i="1" s="1"/>
  <c r="T129" i="1"/>
  <c r="A129" i="1" s="1"/>
  <c r="T130" i="1"/>
  <c r="A130" i="1" s="1"/>
  <c r="T131" i="1"/>
  <c r="A131" i="1" s="1"/>
  <c r="T132" i="1"/>
  <c r="A132" i="1" s="1"/>
  <c r="T133" i="1"/>
  <c r="A133" i="1" s="1"/>
  <c r="T134" i="1"/>
  <c r="A134" i="1" s="1"/>
  <c r="T135" i="1"/>
  <c r="A135" i="1" s="1"/>
  <c r="T136" i="1"/>
  <c r="A136" i="1" s="1"/>
  <c r="T137" i="1"/>
  <c r="A137" i="1" s="1"/>
  <c r="T138" i="1"/>
  <c r="A138" i="1" s="1"/>
  <c r="T139" i="1"/>
  <c r="A139" i="1" s="1"/>
  <c r="T140" i="1"/>
  <c r="A140" i="1" s="1"/>
  <c r="T141" i="1"/>
  <c r="A141" i="1" s="1"/>
  <c r="T142" i="1"/>
  <c r="A142" i="1" s="1"/>
  <c r="T143" i="1"/>
  <c r="A143" i="1" s="1"/>
  <c r="T144" i="1"/>
  <c r="A144" i="1" s="1"/>
  <c r="T145" i="1"/>
  <c r="A145" i="1" s="1"/>
  <c r="T146" i="1"/>
  <c r="A146" i="1" s="1"/>
  <c r="T147" i="1"/>
  <c r="A147" i="1" s="1"/>
  <c r="T148" i="1"/>
  <c r="A148" i="1" s="1"/>
  <c r="T149" i="1"/>
  <c r="A149" i="1" s="1"/>
  <c r="T150" i="1"/>
  <c r="A150" i="1" s="1"/>
  <c r="T151" i="1"/>
  <c r="A151" i="1" s="1"/>
  <c r="T152" i="1"/>
  <c r="A152" i="1" s="1"/>
  <c r="T153" i="1"/>
  <c r="A153" i="1" s="1"/>
  <c r="T154" i="1"/>
  <c r="A154" i="1" s="1"/>
  <c r="T155" i="1"/>
  <c r="A155" i="1" s="1"/>
  <c r="T156" i="1"/>
  <c r="A156" i="1" s="1"/>
  <c r="T157" i="1"/>
  <c r="A157" i="1" s="1"/>
  <c r="T158" i="1"/>
  <c r="A158" i="1" s="1"/>
  <c r="T159" i="1"/>
  <c r="A159" i="1" s="1"/>
  <c r="T160" i="1"/>
  <c r="A160" i="1" s="1"/>
  <c r="T161" i="1"/>
  <c r="A161" i="1" s="1"/>
  <c r="T162" i="1"/>
  <c r="A162" i="1" s="1"/>
  <c r="T163" i="1"/>
  <c r="A163" i="1" s="1"/>
  <c r="T164" i="1"/>
  <c r="A164" i="1" s="1"/>
  <c r="T165" i="1"/>
  <c r="A165" i="1" s="1"/>
  <c r="T166" i="1"/>
  <c r="A166" i="1" s="1"/>
  <c r="T167" i="1"/>
  <c r="A167" i="1" s="1"/>
  <c r="T168" i="1"/>
  <c r="A168" i="1" s="1"/>
  <c r="T169" i="1"/>
  <c r="A169" i="1" s="1"/>
  <c r="T170" i="1"/>
  <c r="A170" i="1" s="1"/>
  <c r="T171" i="1"/>
  <c r="A171" i="1" s="1"/>
  <c r="T172" i="1"/>
  <c r="A172" i="1" s="1"/>
  <c r="T173" i="1"/>
  <c r="A173" i="1" s="1"/>
  <c r="T174" i="1"/>
  <c r="A174" i="1" s="1"/>
  <c r="T175" i="1"/>
  <c r="A175" i="1" s="1"/>
  <c r="T176" i="1"/>
  <c r="A176" i="1" s="1"/>
  <c r="T177" i="1"/>
  <c r="A177" i="1" s="1"/>
  <c r="T178" i="1"/>
  <c r="A178" i="1" s="1"/>
  <c r="T179" i="1"/>
  <c r="A179" i="1" s="1"/>
  <c r="T180" i="1"/>
  <c r="A180" i="1" s="1"/>
  <c r="T181" i="1"/>
  <c r="A181" i="1" s="1"/>
  <c r="T182" i="1"/>
  <c r="A182" i="1" s="1"/>
  <c r="T183" i="1"/>
  <c r="A183" i="1" s="1"/>
  <c r="T184" i="1"/>
  <c r="A184" i="1" s="1"/>
  <c r="T185" i="1"/>
  <c r="A185" i="1" s="1"/>
  <c r="T186" i="1"/>
  <c r="A186" i="1" s="1"/>
  <c r="T187" i="1"/>
  <c r="A187" i="1" s="1"/>
  <c r="T188" i="1"/>
  <c r="A188" i="1" s="1"/>
  <c r="T189" i="1"/>
  <c r="A189" i="1" s="1"/>
  <c r="T190" i="1"/>
  <c r="A190" i="1" s="1"/>
  <c r="T191" i="1"/>
  <c r="A191" i="1" s="1"/>
  <c r="T192" i="1"/>
  <c r="A192" i="1" s="1"/>
  <c r="T193" i="1"/>
  <c r="A193" i="1" s="1"/>
  <c r="T194" i="1"/>
  <c r="A194" i="1" s="1"/>
  <c r="T195" i="1"/>
  <c r="A195" i="1" s="1"/>
  <c r="T196" i="1"/>
  <c r="A196" i="1" s="1"/>
  <c r="T197" i="1"/>
  <c r="A197" i="1" s="1"/>
  <c r="T198" i="1"/>
  <c r="A198" i="1" s="1"/>
  <c r="T199" i="1"/>
  <c r="A199" i="1" s="1"/>
  <c r="T200" i="1"/>
  <c r="A200" i="1" s="1"/>
  <c r="T201" i="1"/>
  <c r="A201" i="1" s="1"/>
  <c r="T202" i="1"/>
  <c r="A202" i="1" s="1"/>
  <c r="T203" i="1"/>
  <c r="A203" i="1" s="1"/>
  <c r="T204" i="1"/>
  <c r="A204" i="1" s="1"/>
  <c r="T205" i="1"/>
  <c r="A205" i="1" s="1"/>
  <c r="T206" i="1"/>
  <c r="A206" i="1" s="1"/>
  <c r="T207" i="1"/>
  <c r="A207" i="1" s="1"/>
  <c r="T208" i="1"/>
  <c r="A208" i="1" s="1"/>
  <c r="T209" i="1"/>
  <c r="A209" i="1" s="1"/>
  <c r="T210" i="1"/>
  <c r="A210" i="1" s="1"/>
  <c r="T211" i="1"/>
  <c r="A211" i="1" s="1"/>
  <c r="T212" i="1"/>
  <c r="A212" i="1" s="1"/>
  <c r="T213" i="1"/>
  <c r="A213" i="1" s="1"/>
  <c r="T214" i="1"/>
  <c r="A214" i="1" s="1"/>
  <c r="T215" i="1"/>
  <c r="A215" i="1" s="1"/>
  <c r="T216" i="1"/>
  <c r="A216" i="1" s="1"/>
  <c r="T217" i="1"/>
  <c r="A217" i="1" s="1"/>
  <c r="AM217" i="1"/>
  <c r="AM216" i="1"/>
  <c r="AM215" i="1"/>
  <c r="AM214" i="1"/>
  <c r="AM213" i="1"/>
  <c r="AM212" i="1"/>
  <c r="AM211" i="1"/>
  <c r="AM210" i="1"/>
  <c r="AM209" i="1"/>
  <c r="AM208" i="1"/>
  <c r="I2" i="6"/>
  <c r="F3" i="6"/>
  <c r="J2" i="6"/>
  <c r="G2" i="6"/>
  <c r="F2" i="6"/>
  <c r="E2" i="6"/>
  <c r="D2" i="6"/>
  <c r="C2" i="6"/>
  <c r="AM207" i="1"/>
  <c r="AM206" i="1"/>
  <c r="AM205" i="1"/>
  <c r="AM204" i="1"/>
  <c r="AM203" i="1"/>
  <c r="AM202" i="1"/>
  <c r="AM201" i="1"/>
  <c r="AM200" i="1"/>
  <c r="AM198" i="1"/>
  <c r="AM199" i="1"/>
  <c r="D3" i="6"/>
  <c r="E3" i="6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J11" i="6" l="1"/>
  <c r="AM167" i="1"/>
  <c r="AM166" i="1"/>
  <c r="AM165" i="1"/>
  <c r="AM164" i="1"/>
  <c r="AM163" i="1"/>
  <c r="AM162" i="1"/>
  <c r="AM161" i="1"/>
  <c r="AM160" i="1"/>
  <c r="AM159" i="1"/>
  <c r="AM158" i="1"/>
  <c r="AM157" i="1" l="1"/>
  <c r="AM156" i="1"/>
  <c r="AM155" i="1"/>
  <c r="AM154" i="1"/>
  <c r="AM153" i="1"/>
  <c r="AM152" i="1"/>
  <c r="AM151" i="1"/>
  <c r="AM150" i="1"/>
  <c r="AM149" i="1"/>
  <c r="AM148" i="1"/>
  <c r="AM13" i="4"/>
  <c r="AM12" i="4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" i="4"/>
  <c r="AM10" i="4"/>
  <c r="AM113" i="1"/>
  <c r="AM115" i="1"/>
  <c r="AM114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 l="1"/>
  <c r="AM100" i="1"/>
  <c r="AM99" i="1"/>
  <c r="AM98" i="1"/>
  <c r="AM97" i="1"/>
  <c r="AM96" i="1"/>
  <c r="AM95" i="1"/>
  <c r="AM94" i="1"/>
  <c r="AM93" i="1"/>
  <c r="AM92" i="1"/>
  <c r="AM91" i="1"/>
  <c r="AM89" i="1"/>
  <c r="AM87" i="1"/>
  <c r="AM85" i="1"/>
  <c r="AM83" i="1"/>
  <c r="AM81" i="1"/>
  <c r="AM79" i="1"/>
  <c r="AM77" i="1"/>
  <c r="AM75" i="1"/>
  <c r="AM73" i="1"/>
  <c r="AM71" i="1"/>
  <c r="AM69" i="1"/>
  <c r="AM67" i="1"/>
  <c r="AM65" i="1"/>
  <c r="AM63" i="1"/>
  <c r="AM61" i="1"/>
  <c r="AM59" i="1"/>
  <c r="AM57" i="1"/>
  <c r="AM55" i="1"/>
  <c r="AM53" i="1"/>
  <c r="AM51" i="1"/>
  <c r="AM49" i="1"/>
  <c r="AM47" i="1"/>
  <c r="AM45" i="1"/>
  <c r="AM43" i="1"/>
  <c r="AM41" i="1"/>
  <c r="AM39" i="1"/>
  <c r="AM37" i="1"/>
  <c r="AM35" i="1"/>
  <c r="AM33" i="1"/>
  <c r="AM31" i="1"/>
  <c r="AM29" i="1"/>
  <c r="AM27" i="1"/>
  <c r="AM25" i="1"/>
  <c r="AM23" i="1"/>
  <c r="AM21" i="1"/>
  <c r="AM19" i="1"/>
  <c r="AM17" i="1"/>
  <c r="AM15" i="1"/>
  <c r="AM13" i="1"/>
  <c r="AM11" i="1"/>
  <c r="AM9" i="1"/>
  <c r="AM7" i="1"/>
  <c r="AM5" i="1"/>
  <c r="AM3" i="1"/>
  <c r="AM90" i="1"/>
  <c r="AM88" i="1"/>
  <c r="AM86" i="1"/>
  <c r="AW7" i="4"/>
  <c r="AK7" i="4"/>
  <c r="AM84" i="1" l="1"/>
  <c r="AM82" i="1"/>
  <c r="AM80" i="1"/>
  <c r="AM78" i="1"/>
  <c r="AM76" i="1"/>
  <c r="AM74" i="1"/>
  <c r="AM72" i="1"/>
  <c r="AM70" i="1"/>
  <c r="AM68" i="1"/>
  <c r="AM66" i="1"/>
  <c r="AM64" i="1"/>
  <c r="AM62" i="1"/>
  <c r="AM60" i="1"/>
  <c r="AM58" i="1"/>
  <c r="AM56" i="1"/>
  <c r="AM54" i="1"/>
  <c r="AM52" i="1"/>
  <c r="AM50" i="1"/>
  <c r="AM48" i="1"/>
  <c r="AM46" i="1"/>
  <c r="AM44" i="1"/>
  <c r="AM42" i="1"/>
  <c r="AM40" i="1"/>
  <c r="AM38" i="1" l="1"/>
  <c r="AM36" i="1"/>
  <c r="AM34" i="1"/>
  <c r="AM32" i="1"/>
  <c r="AM30" i="1"/>
  <c r="AM28" i="1" l="1"/>
  <c r="AM26" i="1"/>
  <c r="AM24" i="1"/>
  <c r="AM22" i="1"/>
  <c r="AM20" i="1"/>
  <c r="AM18" i="1" l="1"/>
  <c r="AM16" i="1"/>
  <c r="AM14" i="1"/>
  <c r="AM12" i="1"/>
  <c r="AM10" i="1"/>
  <c r="AM8" i="1" l="1"/>
  <c r="AM6" i="1"/>
  <c r="AM4" i="1"/>
  <c r="AM2" i="1"/>
</calcChain>
</file>

<file path=xl/sharedStrings.xml><?xml version="1.0" encoding="utf-8"?>
<sst xmlns="http://schemas.openxmlformats.org/spreadsheetml/2006/main" count="10733" uniqueCount="734">
  <si>
    <t>max_d_1</t>
  </si>
  <si>
    <t>ortho_d_1</t>
  </si>
  <si>
    <t>height_1</t>
  </si>
  <si>
    <t>growth_form_1</t>
  </si>
  <si>
    <t>date_cuno_in</t>
  </si>
  <si>
    <t>time_cuno_in</t>
  </si>
  <si>
    <t>cuno_size</t>
  </si>
  <si>
    <t>cuno_depth</t>
  </si>
  <si>
    <t>color</t>
  </si>
  <si>
    <t>tag_n</t>
  </si>
  <si>
    <t>date_coral_in</t>
  </si>
  <si>
    <t>time_coral_in</t>
  </si>
  <si>
    <t>cage_side_1</t>
  </si>
  <si>
    <t>symbionts_1</t>
  </si>
  <si>
    <t>cage_side_2</t>
  </si>
  <si>
    <t>max_d_2</t>
  </si>
  <si>
    <t>ortho_d_2</t>
  </si>
  <si>
    <t>height_2</t>
  </si>
  <si>
    <t>growth_form_2</t>
  </si>
  <si>
    <t>symbionts_2</t>
  </si>
  <si>
    <t>date_finish</t>
  </si>
  <si>
    <t>time_finish</t>
  </si>
  <si>
    <t>green</t>
  </si>
  <si>
    <t>coral cam notes</t>
  </si>
  <si>
    <t>p_alive_start_1</t>
  </si>
  <si>
    <t>p_alive_start_2</t>
  </si>
  <si>
    <t>p_alive_end_1</t>
  </si>
  <si>
    <t>p_consumed_1</t>
  </si>
  <si>
    <t>p_consumed_2</t>
  </si>
  <si>
    <t>p_alive_end_2</t>
  </si>
  <si>
    <t>comments</t>
  </si>
  <si>
    <t>Exp_n</t>
  </si>
  <si>
    <t>cuno_location_found</t>
  </si>
  <si>
    <t>ranking_coral_1</t>
  </si>
  <si>
    <t>ranking_coral_2</t>
  </si>
  <si>
    <t>Cage</t>
  </si>
  <si>
    <t>cage</t>
  </si>
  <si>
    <t>depth</t>
  </si>
  <si>
    <t>dist</t>
  </si>
  <si>
    <t>neon yellow</t>
  </si>
  <si>
    <t>orange</t>
  </si>
  <si>
    <t>white</t>
  </si>
  <si>
    <t>yellow</t>
  </si>
  <si>
    <t>pink</t>
  </si>
  <si>
    <t>ray1</t>
  </si>
  <si>
    <t>ray2</t>
  </si>
  <si>
    <t>PLOB</t>
  </si>
  <si>
    <t>MD</t>
  </si>
  <si>
    <t>cage #</t>
  </si>
  <si>
    <t>C077</t>
  </si>
  <si>
    <t>C078</t>
  </si>
  <si>
    <t>C079</t>
  </si>
  <si>
    <t>C080</t>
  </si>
  <si>
    <t>C081</t>
  </si>
  <si>
    <t>Split</t>
  </si>
  <si>
    <t>Stump</t>
  </si>
  <si>
    <t>yellow/brown</t>
  </si>
  <si>
    <t>green/blue</t>
  </si>
  <si>
    <t>dark blue</t>
  </si>
  <si>
    <t>N066</t>
  </si>
  <si>
    <t>N064</t>
  </si>
  <si>
    <t>N067</t>
  </si>
  <si>
    <t>coral_spp_1</t>
  </si>
  <si>
    <t>N</t>
  </si>
  <si>
    <t>S</t>
  </si>
  <si>
    <t>coral_spp_2</t>
  </si>
  <si>
    <t>PMEA</t>
  </si>
  <si>
    <t>BR</t>
  </si>
  <si>
    <t>date</t>
  </si>
  <si>
    <t>77-81</t>
  </si>
  <si>
    <t>NEITHER</t>
  </si>
  <si>
    <t>East of Anchor</t>
  </si>
  <si>
    <t>N050</t>
  </si>
  <si>
    <t>ate whole PMEA by 10/13, (probably meandrina and lobata)</t>
  </si>
  <si>
    <t>zip tied two PMEA together for this one, (probably meandrina and lobata)</t>
  </si>
  <si>
    <t>PLOB had some spotitng, (probably meandrina and lobata)</t>
  </si>
  <si>
    <t>PMEA in this cage very pale, ate some PMEA by 10/13, (probably meandrina and lobata)</t>
  </si>
  <si>
    <t>POGR16</t>
  </si>
  <si>
    <t>N095</t>
  </si>
  <si>
    <t>green/brown</t>
  </si>
  <si>
    <t>N045</t>
  </si>
  <si>
    <t>N044</t>
  </si>
  <si>
    <t>PLOB pale starting. Only ate POC, complete mortality</t>
  </si>
  <si>
    <t>Only ate PMEA, complete mortality</t>
  </si>
  <si>
    <t>Both of them had 1/2 of their sides pale/dead when first put in. End - Only ate PMEA, complete mortality</t>
  </si>
  <si>
    <t>PLOB - some pale but polyps still there, PMEA - some old dead and bottom white. Emd - Only ate PMEA, complete mortality</t>
  </si>
  <si>
    <t>77, 78, 81</t>
  </si>
  <si>
    <t>79, 80</t>
  </si>
  <si>
    <t>Dagger</t>
  </si>
  <si>
    <t>Back 40</t>
  </si>
  <si>
    <t>brown/green</t>
  </si>
  <si>
    <t>purple/green</t>
  </si>
  <si>
    <t>N043</t>
  </si>
  <si>
    <t>N040</t>
  </si>
  <si>
    <t>N038</t>
  </si>
  <si>
    <t>N037</t>
  </si>
  <si>
    <t>N039</t>
  </si>
  <si>
    <t>FR</t>
  </si>
  <si>
    <t>FSCU</t>
  </si>
  <si>
    <t>small cages</t>
  </si>
  <si>
    <t>ate PMEA by 11/5, only part of PMEA left alive was on the bottom</t>
  </si>
  <si>
    <t>PMEA was pale to begin with, ate PMEA by 11/5</t>
  </si>
  <si>
    <t>ate PMEA by 11/5</t>
  </si>
  <si>
    <t>no starvation time - had one cushion escape so just grabbed new one from the reef, ate PMEA by 11/5</t>
  </si>
  <si>
    <t>ate PMEA by 11/5, cushion dead when I came on 11/10 (had some gashes going through it)</t>
  </si>
  <si>
    <t>color on cage</t>
  </si>
  <si>
    <t>blue</t>
  </si>
  <si>
    <t>red</t>
  </si>
  <si>
    <t>Trios</t>
  </si>
  <si>
    <t>Circle</t>
  </si>
  <si>
    <t>brown/red</t>
  </si>
  <si>
    <t>blue/green</t>
  </si>
  <si>
    <t>N032</t>
  </si>
  <si>
    <t>N035</t>
  </si>
  <si>
    <t>N033</t>
  </si>
  <si>
    <t>N031</t>
  </si>
  <si>
    <t>N036</t>
  </si>
  <si>
    <t>MPAT</t>
  </si>
  <si>
    <t>PCOM</t>
  </si>
  <si>
    <t>MCAP</t>
  </si>
  <si>
    <t>EF</t>
  </si>
  <si>
    <t>KN</t>
  </si>
  <si>
    <t>ate pocillopora by 11/15</t>
  </si>
  <si>
    <t xml:space="preserve">Found a cushion at my area with the collected coral, there was an assortment of coral but it really only ate pocillopora </t>
  </si>
  <si>
    <t>all cages (large and small)</t>
  </si>
  <si>
    <t>POGR44</t>
  </si>
  <si>
    <t>N028</t>
  </si>
  <si>
    <t>N027</t>
  </si>
  <si>
    <t>N026</t>
  </si>
  <si>
    <t>N080</t>
  </si>
  <si>
    <t>N029</t>
  </si>
  <si>
    <t>77, 78, 79</t>
  </si>
  <si>
    <t>PGRA</t>
  </si>
  <si>
    <t>used</t>
  </si>
  <si>
    <t>Fix % alive start and end (should be doing percent alive of the whole fragment)</t>
  </si>
  <si>
    <t>grid</t>
  </si>
  <si>
    <t>G13</t>
  </si>
  <si>
    <t>G15</t>
  </si>
  <si>
    <t>D11</t>
  </si>
  <si>
    <t>F16</t>
  </si>
  <si>
    <t>i3S</t>
  </si>
  <si>
    <t>Y</t>
  </si>
  <si>
    <t>N12</t>
  </si>
  <si>
    <t>N11</t>
  </si>
  <si>
    <t>F17</t>
  </si>
  <si>
    <t>green/black</t>
  </si>
  <si>
    <t>red/brown</t>
  </si>
  <si>
    <t>green/yellow</t>
  </si>
  <si>
    <t xml:space="preserve"> big cages</t>
  </si>
  <si>
    <t>N046</t>
  </si>
  <si>
    <t>consumed_FIRST</t>
  </si>
  <si>
    <t>consumed_SECOND</t>
  </si>
  <si>
    <t>didn’t_consume</t>
  </si>
  <si>
    <t>A14</t>
  </si>
  <si>
    <t>F7</t>
  </si>
  <si>
    <t>C15</t>
  </si>
  <si>
    <t>green/brown/red</t>
  </si>
  <si>
    <t>big cages</t>
  </si>
  <si>
    <t>ate only part of the PGRA</t>
  </si>
  <si>
    <t>BOTH</t>
  </si>
  <si>
    <t>consumed both, wasn't able to tell the order</t>
  </si>
  <si>
    <t>G12</t>
  </si>
  <si>
    <t>red/yellow</t>
  </si>
  <si>
    <t>light green</t>
  </si>
  <si>
    <t>80, 81</t>
  </si>
  <si>
    <t>not sure where the cushion came from or how long it was starved</t>
  </si>
  <si>
    <t>cage started rolling around, coral broke off and then in 2</t>
  </si>
  <si>
    <t>J12</t>
  </si>
  <si>
    <t>L11</t>
  </si>
  <si>
    <t>M10</t>
  </si>
  <si>
    <t>the corals looked like they could have possibly been eaten, not really sure if they were bu I don’t think so. The video the cuno spends a lot of time next to mcap but didn’t actually see it feeding</t>
  </si>
  <si>
    <t>video</t>
  </si>
  <si>
    <t>For how long did it eat?</t>
  </si>
  <si>
    <t>How long till it started eating?</t>
  </si>
  <si>
    <t>When did it eat?</t>
  </si>
  <si>
    <t xml:space="preserve">got order of feeding from video. </t>
  </si>
  <si>
    <t>cushion escaped</t>
  </si>
  <si>
    <t xml:space="preserve">I am pretty sure the compressa was eaten </t>
  </si>
  <si>
    <t>ate_1</t>
  </si>
  <si>
    <t>ATE_2</t>
  </si>
  <si>
    <t>PIC_05</t>
  </si>
  <si>
    <t>starvation_correct</t>
  </si>
  <si>
    <t>N/A</t>
  </si>
  <si>
    <t>H5</t>
  </si>
  <si>
    <t>B6</t>
  </si>
  <si>
    <t>H7</t>
  </si>
  <si>
    <t>F11</t>
  </si>
  <si>
    <t>G6</t>
  </si>
  <si>
    <t>K12</t>
  </si>
  <si>
    <t>M11</t>
  </si>
  <si>
    <t>I12</t>
  </si>
  <si>
    <t>trial_correct</t>
  </si>
  <si>
    <t>PIC_03</t>
  </si>
  <si>
    <t>PIC_01</t>
  </si>
  <si>
    <t>PIC_02</t>
  </si>
  <si>
    <t>PIC_06</t>
  </si>
  <si>
    <t>PIC_08</t>
  </si>
  <si>
    <t>PIC_11</t>
  </si>
  <si>
    <t>PIC_09</t>
  </si>
  <si>
    <t>PIC_19</t>
  </si>
  <si>
    <t>PIC_14</t>
  </si>
  <si>
    <t>PIC_25</t>
  </si>
  <si>
    <t>PIC_24</t>
  </si>
  <si>
    <t>PIC_20</t>
  </si>
  <si>
    <t>N051</t>
  </si>
  <si>
    <t>N019</t>
  </si>
  <si>
    <t>N100</t>
  </si>
  <si>
    <t>PIC_26</t>
  </si>
  <si>
    <t>B13</t>
  </si>
  <si>
    <t>C14</t>
  </si>
  <si>
    <t>E11</t>
  </si>
  <si>
    <t>E10</t>
  </si>
  <si>
    <t>PIC_29</t>
  </si>
  <si>
    <t>PIC_12</t>
  </si>
  <si>
    <t>PMEA_PLOB</t>
  </si>
  <si>
    <t>PMEA_FSCU</t>
  </si>
  <si>
    <t>PMEA_MPAT</t>
  </si>
  <si>
    <t>PMEA_PCOM</t>
  </si>
  <si>
    <t>PMEA_MCAP</t>
  </si>
  <si>
    <t>PGRA_PCOM</t>
  </si>
  <si>
    <t>PCOM_MCAP</t>
  </si>
  <si>
    <t>PLOB_MCAP</t>
  </si>
  <si>
    <t>PCOM_MPAT</t>
  </si>
  <si>
    <t>PLOB_MPAT</t>
  </si>
  <si>
    <t>PGRA_MCAP</t>
  </si>
  <si>
    <t>might have been eating the orange stringy stuff that was on the rock with the compressa; unintentionally eating PCOM</t>
  </si>
  <si>
    <t>unknown</t>
  </si>
  <si>
    <t>half</t>
  </si>
  <si>
    <t>coral_n</t>
  </si>
  <si>
    <t>coral_spp_PISFC</t>
  </si>
  <si>
    <t>coral_GESP</t>
  </si>
  <si>
    <t>ranking_coral</t>
  </si>
  <si>
    <t>ate</t>
  </si>
  <si>
    <t>NO</t>
  </si>
  <si>
    <t>YES</t>
  </si>
  <si>
    <t>POLO</t>
  </si>
  <si>
    <t>POCO</t>
  </si>
  <si>
    <t>FUSC</t>
  </si>
  <si>
    <t>MOPA</t>
  </si>
  <si>
    <t>MOCA</t>
  </si>
  <si>
    <t>POME</t>
  </si>
  <si>
    <t>POGR</t>
  </si>
  <si>
    <t>NORTH</t>
  </si>
  <si>
    <t>cage_SOUTHide_1</t>
  </si>
  <si>
    <t>SOUTH</t>
  </si>
  <si>
    <t>NOT_EATEN</t>
  </si>
  <si>
    <t>FIRST</t>
  </si>
  <si>
    <t>SECOND</t>
  </si>
  <si>
    <t>rank_n</t>
  </si>
  <si>
    <t>.</t>
  </si>
  <si>
    <t>C152</t>
  </si>
  <si>
    <t>E8</t>
  </si>
  <si>
    <t>PIC_36</t>
  </si>
  <si>
    <t>MCAP_MPAT</t>
  </si>
  <si>
    <t>G10</t>
  </si>
  <si>
    <t>PIC_34</t>
  </si>
  <si>
    <t>F10</t>
  </si>
  <si>
    <t>PIC_33</t>
  </si>
  <si>
    <t>yellow/black</t>
  </si>
  <si>
    <t>PIC_31</t>
  </si>
  <si>
    <t>C153</t>
  </si>
  <si>
    <t>D12</t>
  </si>
  <si>
    <t>blue/yellow</t>
  </si>
  <si>
    <t>did't see eating MCAP but ate MPAT within a day of starting trial</t>
  </si>
  <si>
    <t>ate MCAP by 3/23 but wasn't able to see it eating MPAT in the videos</t>
  </si>
  <si>
    <t>ate MPAT 3/21 and MCAP 3/22</t>
  </si>
  <si>
    <t>O11</t>
  </si>
  <si>
    <t>green/red</t>
  </si>
  <si>
    <t>Lobata field</t>
  </si>
  <si>
    <t>K10</t>
  </si>
  <si>
    <t>N058</t>
  </si>
  <si>
    <t>PIC_04</t>
  </si>
  <si>
    <t>PIC_46</t>
  </si>
  <si>
    <t>Cage Numbers</t>
  </si>
  <si>
    <t>CAGE ROLLED AWAY</t>
  </si>
  <si>
    <t>Reef locations</t>
  </si>
  <si>
    <t>Combinations</t>
  </si>
  <si>
    <t>Porites lobata</t>
  </si>
  <si>
    <t>Pocillopora meandrina</t>
  </si>
  <si>
    <t>Fungia scutaria</t>
  </si>
  <si>
    <t>Montipora patula</t>
  </si>
  <si>
    <t>Porites compressa</t>
  </si>
  <si>
    <t>Montipora capitata</t>
  </si>
  <si>
    <t>Pocillopora grandis</t>
  </si>
  <si>
    <t>PVAR</t>
  </si>
  <si>
    <t>Pavona varians</t>
  </si>
  <si>
    <t>Pavona duerdeni</t>
  </si>
  <si>
    <t>PDUE</t>
  </si>
  <si>
    <t>LESP</t>
  </si>
  <si>
    <t>Leptastrea species</t>
  </si>
  <si>
    <t>PADU</t>
  </si>
  <si>
    <t>PAVA</t>
  </si>
  <si>
    <t>Mounding</t>
  </si>
  <si>
    <t>Branching</t>
  </si>
  <si>
    <t>Free living</t>
  </si>
  <si>
    <t>Encrusting flat</t>
  </si>
  <si>
    <t>Knobby</t>
  </si>
  <si>
    <t>rank</t>
  </si>
  <si>
    <t>Not eaten</t>
  </si>
  <si>
    <t>Eaten first</t>
  </si>
  <si>
    <t>Eaten second</t>
  </si>
  <si>
    <t>H8</t>
  </si>
  <si>
    <t>PIC_49</t>
  </si>
  <si>
    <t>blue/brown</t>
  </si>
  <si>
    <t>K5</t>
  </si>
  <si>
    <t>PIC_51</t>
  </si>
  <si>
    <t>J5</t>
  </si>
  <si>
    <t>yellow/orange</t>
  </si>
  <si>
    <t>PIC_48</t>
  </si>
  <si>
    <t>escaped after 1 day</t>
  </si>
  <si>
    <t>Ate MPAT on 4/28 at 7am</t>
  </si>
  <si>
    <t>T0046</t>
  </si>
  <si>
    <t>PIC_55</t>
  </si>
  <si>
    <t>PIC_56</t>
  </si>
  <si>
    <t>PIC_54</t>
  </si>
  <si>
    <t>aqua</t>
  </si>
  <si>
    <t>order determined with video?</t>
  </si>
  <si>
    <t>evidence from video</t>
  </si>
  <si>
    <t>date/time start eating</t>
  </si>
  <si>
    <t>number of videos spent eating</t>
  </si>
  <si>
    <t>didn't eat on video</t>
  </si>
  <si>
    <t>coral went from color to white from 5/6 to 5/7</t>
  </si>
  <si>
    <t>5/6/21 overnight</t>
  </si>
  <si>
    <t>ate on video</t>
  </si>
  <si>
    <t>didn't eat</t>
  </si>
  <si>
    <t>ate one</t>
  </si>
  <si>
    <t>algae on POSP, not MPAT -  also suggests POSP eaten first</t>
  </si>
  <si>
    <t>coral went from color to white from 5/7 to 5/8</t>
  </si>
  <si>
    <t>5/7/2021 overnight</t>
  </si>
  <si>
    <t>H10</t>
  </si>
  <si>
    <t>PIC_58</t>
  </si>
  <si>
    <t>PIC_60</t>
  </si>
  <si>
    <t>PIC_59</t>
  </si>
  <si>
    <t>T0150</t>
  </si>
  <si>
    <t>no video.didn't eat</t>
  </si>
  <si>
    <t>no video.ate one</t>
  </si>
  <si>
    <t>5/20/2021  overnight</t>
  </si>
  <si>
    <t>brush checked</t>
  </si>
  <si>
    <t>checked mid week</t>
  </si>
  <si>
    <t>I10</t>
  </si>
  <si>
    <t>brown/yellow</t>
  </si>
  <si>
    <t>yellow/blue</t>
  </si>
  <si>
    <t>black/yellow</t>
  </si>
  <si>
    <t>PIC_61</t>
  </si>
  <si>
    <t>N097</t>
  </si>
  <si>
    <t>N072</t>
  </si>
  <si>
    <t>coral went from color to white from 6/26 to 6/27</t>
  </si>
  <si>
    <t>6/26 overnight</t>
  </si>
  <si>
    <t>combo_specific_spp</t>
  </si>
  <si>
    <t>combo_general_spp</t>
  </si>
  <si>
    <t>coral_spp_general</t>
  </si>
  <si>
    <t>POSP</t>
  </si>
  <si>
    <t>PORM</t>
  </si>
  <si>
    <t>A16</t>
  </si>
  <si>
    <t>PIC_66</t>
  </si>
  <si>
    <t>K4</t>
  </si>
  <si>
    <t>PIC_67</t>
  </si>
  <si>
    <t>F15</t>
  </si>
  <si>
    <t>PIC_64</t>
  </si>
  <si>
    <t>I13</t>
  </si>
  <si>
    <t>PIC_65</t>
  </si>
  <si>
    <t>PIC_77</t>
  </si>
  <si>
    <t>PIC_74</t>
  </si>
  <si>
    <t>negA7</t>
  </si>
  <si>
    <t>PIC_76</t>
  </si>
  <si>
    <t>PIC_63</t>
  </si>
  <si>
    <t>PIC_53</t>
  </si>
  <si>
    <t>8/6/21 6:00-7:00</t>
  </si>
  <si>
    <t>coral went from color to white from 8/5-8/6</t>
  </si>
  <si>
    <t>8/5 overnight</t>
  </si>
  <si>
    <t>also ate POSP that was growing on cage</t>
  </si>
  <si>
    <t>79, 78 lost</t>
  </si>
  <si>
    <t>Blue</t>
  </si>
  <si>
    <t>C083</t>
  </si>
  <si>
    <t>C082</t>
  </si>
  <si>
    <t>PIC_84</t>
  </si>
  <si>
    <t>C6</t>
  </si>
  <si>
    <t>purple/black</t>
  </si>
  <si>
    <t>PIC_81</t>
  </si>
  <si>
    <t>PIC_30</t>
  </si>
  <si>
    <t>F8</t>
  </si>
  <si>
    <t>PIC_85</t>
  </si>
  <si>
    <t>ate pocillopora by 9/19 (checked in person)</t>
  </si>
  <si>
    <t xml:space="preserve">9/22/21 @ 6:30am &amp; 9/22/21 @ 6:30pm </t>
  </si>
  <si>
    <t>ate it twice on separate occassions</t>
  </si>
  <si>
    <t>PIC_87</t>
  </si>
  <si>
    <t>LESP_PMEA</t>
  </si>
  <si>
    <t>PIC_89</t>
  </si>
  <si>
    <t>PIC_90</t>
  </si>
  <si>
    <t>PIC_88</t>
  </si>
  <si>
    <t>PVAR_PMEA</t>
  </si>
  <si>
    <t xml:space="preserve">hard to tell if it ate the leptastrea, skeleton was a little white at the end but unsure. </t>
  </si>
  <si>
    <t>unknown.no video</t>
  </si>
  <si>
    <t>was covered in sand when picked it up at the end</t>
  </si>
  <si>
    <t>coral went from color to white from 10/2 to 10/3</t>
  </si>
  <si>
    <t>10/5/21 6:30-10:30</t>
  </si>
  <si>
    <t>10/1/21 6:30-7:30</t>
  </si>
  <si>
    <t>10/6/2021  @ 6:30:00 AM</t>
  </si>
  <si>
    <t>10/1 @ 6:30-18:30</t>
  </si>
  <si>
    <t>A4</t>
  </si>
  <si>
    <t>PIC_92</t>
  </si>
  <si>
    <t>PDUE_PMEA</t>
  </si>
  <si>
    <t>ML</t>
  </si>
  <si>
    <t>B5</t>
  </si>
  <si>
    <t>PIC_91</t>
  </si>
  <si>
    <t>MCAP_FSCU</t>
  </si>
  <si>
    <t>PIC_95</t>
  </si>
  <si>
    <t>PIC_38</t>
  </si>
  <si>
    <t>PIC_94</t>
  </si>
  <si>
    <t>•</t>
  </si>
  <si>
    <t>10/8/20-10/15/20</t>
  </si>
  <si>
    <t xml:space="preserve">10/22/20-10/29/20 </t>
  </si>
  <si>
    <t xml:space="preserve">11/3/20-11/10/20 </t>
  </si>
  <si>
    <t>11/12/20-11/19/20</t>
  </si>
  <si>
    <t>11/24/20-12/1/20</t>
  </si>
  <si>
    <t>2/18/21-3/5/21</t>
  </si>
  <si>
    <t>8/5/21-8/12/21</t>
  </si>
  <si>
    <t>6/24/21-7/1/21</t>
  </si>
  <si>
    <t>7/22/21-7/29/21</t>
  </si>
  <si>
    <t>11/3/20-11/10/20</t>
  </si>
  <si>
    <t>1/5/21-1/12/21</t>
  </si>
  <si>
    <t>9/16/21-9/23/21</t>
  </si>
  <si>
    <t>1/21/21-1/31/21</t>
  </si>
  <si>
    <t>5/6/21-5/13/21</t>
  </si>
  <si>
    <t>4/20/21-4/27/21</t>
  </si>
  <si>
    <t>11/12/10/21-11/19/21</t>
  </si>
  <si>
    <t>2/4/21-2/11/21</t>
  </si>
  <si>
    <t>4/22/21-4/29/21</t>
  </si>
  <si>
    <t>5/5/21-5/13/21</t>
  </si>
  <si>
    <t>9/30/21-10/7/21</t>
  </si>
  <si>
    <t>10/15/21-10/22/21</t>
  </si>
  <si>
    <t>3/18/21-3/28/21</t>
  </si>
  <si>
    <t xml:space="preserve">12/23/20-12/30/20 </t>
  </si>
  <si>
    <t>4/8/21-4/15/21</t>
  </si>
  <si>
    <t>12/23/20-12/30/21</t>
  </si>
  <si>
    <t>5/20/21-5/27/21</t>
  </si>
  <si>
    <t>12/23/21-12/30/21</t>
  </si>
  <si>
    <t>10/16 @ 6:30</t>
  </si>
  <si>
    <t>coral went from color to white from 10/16-10/17</t>
  </si>
  <si>
    <t>coral went from color to white from 10/15-10/16</t>
  </si>
  <si>
    <t>10/17 @ 6:30-12:30</t>
  </si>
  <si>
    <t>K6</t>
  </si>
  <si>
    <t>J6</t>
  </si>
  <si>
    <t>PIC_100</t>
  </si>
  <si>
    <t>PIC_102</t>
  </si>
  <si>
    <t>PIC_98</t>
  </si>
  <si>
    <t>10/29/21-11/5/21</t>
  </si>
  <si>
    <t>LESP_MPAT</t>
  </si>
  <si>
    <t>ate on kilo cam</t>
  </si>
  <si>
    <t>10/30 @ 6:00-7:00</t>
  </si>
  <si>
    <t>182 pics</t>
  </si>
  <si>
    <t>coral went from color to white from 11/2 to 11/3</t>
  </si>
  <si>
    <t>coral went from color to white from 10/30 to 10/31</t>
  </si>
  <si>
    <t>coral wen from color to white from 10/29 to 10/30</t>
  </si>
  <si>
    <t>11/11/21-11/18/21</t>
  </si>
  <si>
    <t>D10</t>
  </si>
  <si>
    <t>PIC_103</t>
  </si>
  <si>
    <t>coral.visited.first</t>
  </si>
  <si>
    <t>no.video</t>
  </si>
  <si>
    <t>visited.coral.ate.first</t>
  </si>
  <si>
    <t>didnt.eat</t>
  </si>
  <si>
    <t>stayed in center first day, on north side of cage second day but on the wall of the cage not near the coral</t>
  </si>
  <si>
    <t>11/13 @ 6:30-12:30</t>
  </si>
  <si>
    <t>coral went from color to white from 11/13 to 11/14</t>
  </si>
  <si>
    <t>coral went from color to white from 11/15 to 11/16</t>
  </si>
  <si>
    <t>72 pics</t>
  </si>
  <si>
    <t>11/12 @ 6:00-12:00</t>
  </si>
  <si>
    <t>coral went from color to white from 11/11 to 11/12</t>
  </si>
  <si>
    <t>coral went from color to white from 11/12 to 11/13</t>
  </si>
  <si>
    <t>Cage #</t>
  </si>
  <si>
    <t>Comments</t>
  </si>
  <si>
    <t>Code</t>
  </si>
  <si>
    <t>Spp name</t>
  </si>
  <si>
    <t>full name</t>
  </si>
  <si>
    <t>rank #</t>
  </si>
  <si>
    <t>meaning</t>
  </si>
  <si>
    <t>kilo cam tape color</t>
  </si>
  <si>
    <t>deploy date</t>
  </si>
  <si>
    <t>rolled away ~7/30/21</t>
  </si>
  <si>
    <t>rolled away ~2/11/21</t>
  </si>
  <si>
    <t>Small starving cages before 12/31/21 - west of 152, 079 and 078</t>
  </si>
  <si>
    <t>Green</t>
  </si>
  <si>
    <t>Yellow</t>
  </si>
  <si>
    <t>White</t>
  </si>
  <si>
    <t>Red</t>
  </si>
  <si>
    <t>holding cage</t>
  </si>
  <si>
    <t>rolled away before 5/10, found on 5/11</t>
  </si>
  <si>
    <t>Cage cleaning</t>
  </si>
  <si>
    <t>days_starved</t>
  </si>
  <si>
    <t>tiral_length</t>
  </si>
  <si>
    <t>coral_cam</t>
  </si>
  <si>
    <t>Kilo_cam</t>
  </si>
  <si>
    <t>pulled up 12/21</t>
  </si>
  <si>
    <t>pulled up 12/20</t>
  </si>
  <si>
    <t>pulled up 12/22</t>
  </si>
  <si>
    <t>pulled up 12/23</t>
  </si>
  <si>
    <t>pulled up 12/24</t>
  </si>
  <si>
    <t>Small starving cage after 1/1/22 - west of 156</t>
  </si>
  <si>
    <t>C158</t>
  </si>
  <si>
    <t>C157</t>
  </si>
  <si>
    <t>C156</t>
  </si>
  <si>
    <t>C155</t>
  </si>
  <si>
    <t>C154</t>
  </si>
  <si>
    <t>I6</t>
  </si>
  <si>
    <t>PIC_113</t>
  </si>
  <si>
    <t>PIC_112</t>
  </si>
  <si>
    <t>C11</t>
  </si>
  <si>
    <t>PIC_114</t>
  </si>
  <si>
    <t>PIC_80</t>
  </si>
  <si>
    <t>MPAT_FSCU</t>
  </si>
  <si>
    <t xml:space="preserve"> </t>
  </si>
  <si>
    <t>PCOM_PLOB</t>
  </si>
  <si>
    <t>cage came off and started rolling around</t>
  </si>
  <si>
    <t>6/2/22 @ 7pm-6/3/22 @ 6:45pm</t>
  </si>
  <si>
    <t>may have revisited, ate almost 24 hours and varely removed tissue</t>
  </si>
  <si>
    <t>coral burried in sand, not consumed</t>
  </si>
  <si>
    <t>G4</t>
  </si>
  <si>
    <t>PIC_115</t>
  </si>
  <si>
    <t>PIC_116</t>
  </si>
  <si>
    <t>yellow/green/brown</t>
  </si>
  <si>
    <t>PIC_118</t>
  </si>
  <si>
    <t>purple/yellow/brown</t>
  </si>
  <si>
    <t>PIC_119</t>
  </si>
  <si>
    <t>PIC_120</t>
  </si>
  <si>
    <t>05/25/22-06/09/22</t>
  </si>
  <si>
    <t>small cages w/ elbows - 80cm X 80cm X 40cm</t>
  </si>
  <si>
    <t>small cages, just PVC pipe pieces - 75cm X 75cm X 35cm</t>
  </si>
  <si>
    <t>large cages, just PVC pipe pieces - 150cm X 50cm X 50cm</t>
  </si>
  <si>
    <t>large cages w/ elbows - 155cm X 55cm X 55cm</t>
  </si>
  <si>
    <t>6/10/22 @ 6am to 6/11/22 @11am</t>
  </si>
  <si>
    <t>ate MCAP through the night, took over 24 hours</t>
  </si>
  <si>
    <t>Ate this for a whole day (and probably into the night) and still was not able to remove all tissue, it was just sloughing off</t>
  </si>
  <si>
    <t>6/12/22 @ 6am to 6/12/22 @ 6pm</t>
  </si>
  <si>
    <t>6/9/22-6/15/22</t>
  </si>
  <si>
    <t>yellow/purple</t>
  </si>
  <si>
    <t>PIC_106</t>
  </si>
  <si>
    <t>MPAT_PDUE</t>
  </si>
  <si>
    <t>PIC_121</t>
  </si>
  <si>
    <t>6/15/22-7/8/22</t>
  </si>
  <si>
    <t>20 pics</t>
  </si>
  <si>
    <t>7/1/22 @ 6am-10:45am</t>
  </si>
  <si>
    <t>left a little bit of coral on there</t>
  </si>
  <si>
    <t>coral wen from color to white from 6/26-6/27</t>
  </si>
  <si>
    <t>41 pics</t>
  </si>
  <si>
    <t>6/26/22 @ 6am-4pm</t>
  </si>
  <si>
    <t>probably started at night</t>
  </si>
  <si>
    <t>6/29/22 @ 6am-9:30am</t>
  </si>
  <si>
    <t>15 pics</t>
  </si>
  <si>
    <t>47 pics</t>
  </si>
  <si>
    <t>43 pics</t>
  </si>
  <si>
    <t>6/25/22 @ 6am-5:30pm</t>
  </si>
  <si>
    <t>6/26/22 @ 6am-4:30pm</t>
  </si>
  <si>
    <t>coral went from color to white from 6/24-6/25</t>
  </si>
  <si>
    <t>56 pics</t>
  </si>
  <si>
    <t>6/25/22 @ 6am-7pm</t>
  </si>
  <si>
    <t>rolled away ~ 7/20</t>
  </si>
  <si>
    <t>shallowest</t>
  </si>
  <si>
    <t>Deepest</t>
  </si>
  <si>
    <t>C161</t>
  </si>
  <si>
    <t>C162</t>
  </si>
  <si>
    <t>C163</t>
  </si>
  <si>
    <t>M12</t>
  </si>
  <si>
    <t>yellow/red</t>
  </si>
  <si>
    <t>PIC_135</t>
  </si>
  <si>
    <t>PIC_134</t>
  </si>
  <si>
    <t>O12</t>
  </si>
  <si>
    <t>PIC_133</t>
  </si>
  <si>
    <t>PIC_136</t>
  </si>
  <si>
    <t>8/24/22-8/31/22</t>
  </si>
  <si>
    <t>B15</t>
  </si>
  <si>
    <t>D14</t>
  </si>
  <si>
    <t>PIC_138</t>
  </si>
  <si>
    <t>PIC_47</t>
  </si>
  <si>
    <t>PIC_141</t>
  </si>
  <si>
    <t>PIC_132</t>
  </si>
  <si>
    <t>PIC_140</t>
  </si>
  <si>
    <t>PCOM_FSCU</t>
  </si>
  <si>
    <t>MPAT_PVAR</t>
  </si>
  <si>
    <t>cuno "inspected" the FSCU</t>
  </si>
  <si>
    <t>49 pics</t>
  </si>
  <si>
    <t>6/28 @ 6am-6pm</t>
  </si>
  <si>
    <t>40 pics</t>
  </si>
  <si>
    <t>8/30 @ 6am-3:15pm</t>
  </si>
  <si>
    <t>did not remove all tissue</t>
  </si>
  <si>
    <t>7 pics</t>
  </si>
  <si>
    <t>23 pics</t>
  </si>
  <si>
    <t>8/31 @ 6am-7:15am</t>
  </si>
  <si>
    <t>8/29 @ 6am-11:30am</t>
  </si>
  <si>
    <t>very low tissue removal</t>
  </si>
  <si>
    <t>corals covered in sand for most of the trial</t>
  </si>
  <si>
    <t>there was a cushion star under the cage…? But the cushion from this trial never escaped</t>
  </si>
  <si>
    <t>8/31/22-9/14/22</t>
  </si>
  <si>
    <t>22 pics</t>
  </si>
  <si>
    <t>9/8/22 @ 6am-11:15am</t>
  </si>
  <si>
    <t>ate just one branch</t>
  </si>
  <si>
    <t>coral went from color to white from 9/9-9/10</t>
  </si>
  <si>
    <t>coral went from color to white from 9/2-9/3</t>
  </si>
  <si>
    <t>13 pics</t>
  </si>
  <si>
    <t>34 pics</t>
  </si>
  <si>
    <t>9/2 @ 6am-8:15am</t>
  </si>
  <si>
    <t>9/1 @ 6am-2:15pm</t>
  </si>
  <si>
    <t>48 pics</t>
  </si>
  <si>
    <t>9/11 @ 6am-5:45pm</t>
  </si>
  <si>
    <t>ate towards the end of the 2 weeks after coral had spent 10 days trying to keep sand off, probably ate cause tissues were stressed and out and was producing a lot of mucus</t>
  </si>
  <si>
    <t>yellow/green</t>
  </si>
  <si>
    <t>PIC_144</t>
  </si>
  <si>
    <t>PIC_62</t>
  </si>
  <si>
    <t>PIC_145</t>
  </si>
  <si>
    <t>9/21/22-9/30/22</t>
  </si>
  <si>
    <t>K11</t>
  </si>
  <si>
    <t>orange/yellow</t>
  </si>
  <si>
    <t>green/yellow/brown</t>
  </si>
  <si>
    <t>yellow/brown/blue</t>
  </si>
  <si>
    <t>PIC_78</t>
  </si>
  <si>
    <t>PIC_123</t>
  </si>
  <si>
    <t>PIC_146</t>
  </si>
  <si>
    <t>PLOB_FSCU</t>
  </si>
  <si>
    <t>coral went from color to white from 9/24-9/25</t>
  </si>
  <si>
    <t>9/24 @ 6am-7pm</t>
  </si>
  <si>
    <t>coral went from color to white from 9/23-9/24</t>
  </si>
  <si>
    <t>9/26 @ 6am-7pm</t>
  </si>
  <si>
    <t>ate FSCU on last day/night</t>
  </si>
  <si>
    <t>10/3 @ 6am-7pm</t>
  </si>
  <si>
    <t>10/4 @ 6am-7pm</t>
  </si>
  <si>
    <t>9/30/22-10/5/22</t>
  </si>
  <si>
    <t>D13</t>
  </si>
  <si>
    <t>E12</t>
  </si>
  <si>
    <t>PIC_148</t>
  </si>
  <si>
    <t>orange/brown</t>
  </si>
  <si>
    <t>F6</t>
  </si>
  <si>
    <t>purple/light blue</t>
  </si>
  <si>
    <t>PIC_151</t>
  </si>
  <si>
    <t>PIC_152</t>
  </si>
  <si>
    <t>PIC_150</t>
  </si>
  <si>
    <t>PIC_69</t>
  </si>
  <si>
    <t>10/12/22-10/19/22</t>
  </si>
  <si>
    <t>coral went from color to white from 10/12-10/13</t>
  </si>
  <si>
    <t>10/15 @ 6am-7pm</t>
  </si>
  <si>
    <t>25 pics</t>
  </si>
  <si>
    <t>10/14 @ 6am-7pm</t>
  </si>
  <si>
    <t>10/17 @ 6am-12pm</t>
  </si>
  <si>
    <t>10/13 @ 6am-7pm</t>
  </si>
  <si>
    <t>coral went from color to white from 10/21-10/22</t>
  </si>
  <si>
    <t>coral went from color to white from 10/19-10/20</t>
  </si>
  <si>
    <t>12 pics</t>
  </si>
  <si>
    <t>10/20 @ 6am-8:45am</t>
  </si>
  <si>
    <t>10/22 @ 6am-4:15pm</t>
  </si>
  <si>
    <t>31 pics</t>
  </si>
  <si>
    <t>10/23 @ 6am-3:30pm</t>
  </si>
  <si>
    <t>10/19/2022-10/26/22</t>
  </si>
  <si>
    <t>green/orange/blue</t>
  </si>
  <si>
    <t>PIC_154</t>
  </si>
  <si>
    <t>PIC_139</t>
  </si>
  <si>
    <t>PIC_155</t>
  </si>
  <si>
    <t>PIC_153</t>
  </si>
  <si>
    <t>PIC_159</t>
  </si>
  <si>
    <t>PIC_158</t>
  </si>
  <si>
    <t>11/23/22-11/30/22</t>
  </si>
  <si>
    <t>coral went from color to white from 12/1 to 12/2</t>
  </si>
  <si>
    <t>coral went from color to white from 11/30 to 12/1</t>
  </si>
  <si>
    <t>26 pics</t>
  </si>
  <si>
    <t>12/2 @6am-12:15</t>
  </si>
  <si>
    <t>video.cant.tell</t>
  </si>
  <si>
    <t>PGRA_PVAR</t>
  </si>
  <si>
    <t>11/30/22-12/7/22</t>
  </si>
  <si>
    <t>cage_side</t>
  </si>
  <si>
    <t>N_eaten</t>
  </si>
  <si>
    <t>one</t>
  </si>
  <si>
    <t>both</t>
  </si>
  <si>
    <t>none</t>
  </si>
  <si>
    <t>not_consumed_1</t>
  </si>
  <si>
    <t>not_consumed_2</t>
  </si>
  <si>
    <t>trial_length</t>
  </si>
  <si>
    <t>n_videos_eating</t>
  </si>
  <si>
    <t>n_pics_eating</t>
  </si>
  <si>
    <t>NA</t>
  </si>
  <si>
    <t>n_hours_eat</t>
  </si>
  <si>
    <t>11+</t>
  </si>
  <si>
    <t>date_time_start</t>
  </si>
  <si>
    <t>visitied_first</t>
  </si>
  <si>
    <t>overnight</t>
  </si>
  <si>
    <t>8+</t>
  </si>
  <si>
    <t>both_start_night</t>
  </si>
  <si>
    <t>1+</t>
  </si>
  <si>
    <t>lab mates</t>
  </si>
  <si>
    <t>4+</t>
  </si>
  <si>
    <t>ate on first night</t>
  </si>
  <si>
    <t>12+</t>
  </si>
  <si>
    <t>4/23/21-4/24-21</t>
  </si>
  <si>
    <t>5/7/21-5/8/21</t>
  </si>
  <si>
    <t>5/6/21-5/7/21</t>
  </si>
  <si>
    <t>13+</t>
  </si>
  <si>
    <t>6/26/21-6/27/21</t>
  </si>
  <si>
    <t>2+</t>
  </si>
  <si>
    <t>8/5/21-8/6/21</t>
  </si>
  <si>
    <t>both_day start</t>
  </si>
  <si>
    <t>5+</t>
  </si>
  <si>
    <t>10/2/21-10/3/21</t>
  </si>
  <si>
    <t>10/16/21-10/17/21</t>
  </si>
  <si>
    <t>10/15/21-10/16/21</t>
  </si>
  <si>
    <t>7+</t>
  </si>
  <si>
    <t>ate on both cams</t>
  </si>
  <si>
    <t>10/30/21-10/31/21</t>
  </si>
  <si>
    <t>11/2/21-11/3/21</t>
  </si>
  <si>
    <t>Y_VIDEO</t>
  </si>
  <si>
    <t>Y_KILO</t>
  </si>
  <si>
    <t>10/29/21-10/30/21</t>
  </si>
  <si>
    <t>color change_video</t>
  </si>
  <si>
    <t>color change_kilo</t>
  </si>
  <si>
    <t>6+</t>
  </si>
  <si>
    <t>11/13/21-11/14/21</t>
  </si>
  <si>
    <t>11/15/21-11/16/21</t>
  </si>
  <si>
    <t>11/11/21-11/12/21</t>
  </si>
  <si>
    <t>11/12/21-11/13/21</t>
  </si>
  <si>
    <t>19+</t>
  </si>
  <si>
    <t>6/26/22-6/27/22</t>
  </si>
  <si>
    <t>10+</t>
  </si>
  <si>
    <t>6/24/22-6/25/22</t>
  </si>
  <si>
    <t>15+</t>
  </si>
  <si>
    <t>9/2/22-9/3/22</t>
  </si>
  <si>
    <t>9/9/22-9/10/22</t>
  </si>
  <si>
    <t>9+</t>
  </si>
  <si>
    <t>3+</t>
  </si>
  <si>
    <t>Y_BOTH</t>
  </si>
  <si>
    <t>9/24/22-9/25/22</t>
  </si>
  <si>
    <t>10/12/22-10/13/22</t>
  </si>
  <si>
    <t>10/21/22-10/22/22</t>
  </si>
  <si>
    <t>10/19/22-10/20/22</t>
  </si>
  <si>
    <t>12/1/22-12/2/22</t>
  </si>
  <si>
    <t>11/30/22-12/1/22</t>
  </si>
  <si>
    <t>method_order_determined</t>
  </si>
  <si>
    <t>camera_evidence</t>
  </si>
  <si>
    <t>first_eaten_visited_first</t>
  </si>
  <si>
    <t>feeding_time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</si>
</sst>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"/>
    <numFmt numFmtId="166" formatCode="dd/mm/yyyy;@"/>
  </numFmts>
  <fonts count="9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Times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8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14" fontId="0" fillId="2" borderId="0" xfId="0" applyNumberFormat="1" applyFill="1"/>
    <xf numFmtId="14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164" fontId="0" fillId="3" borderId="0" xfId="0" applyNumberFormat="1" applyFill="1"/>
    <xf numFmtId="9" fontId="0" fillId="3" borderId="0" xfId="1" applyFont="1" applyFill="1"/>
    <xf numFmtId="9" fontId="0" fillId="0" borderId="0" xfId="1" applyFont="1"/>
    <xf numFmtId="0" fontId="0" fillId="0" borderId="0" xfId="0" applyAlignment="1">
      <alignment vertical="center"/>
    </xf>
    <xf numFmtId="0" fontId="0" fillId="4" borderId="0" xfId="0" applyFill="1"/>
    <xf numFmtId="14" fontId="0" fillId="3" borderId="0" xfId="0" applyNumberFormat="1" applyFill="1"/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5" borderId="0" xfId="0" applyFill="1"/>
    <xf numFmtId="165" fontId="0" fillId="2" borderId="0" xfId="0" applyNumberFormat="1" applyFill="1"/>
    <xf numFmtId="165" fontId="0" fillId="0" borderId="0" xfId="0" applyNumberFormat="1"/>
    <xf numFmtId="1" fontId="0" fillId="2" borderId="0" xfId="0" applyNumberFormat="1" applyFill="1"/>
    <xf numFmtId="1" fontId="0" fillId="0" borderId="0" xfId="0" applyNumberFormat="1"/>
    <xf numFmtId="1" fontId="0" fillId="3" borderId="0" xfId="0" applyNumberFormat="1" applyFill="1"/>
    <xf numFmtId="0" fontId="0" fillId="6" borderId="0" xfId="0" applyFill="1" applyAlignment="1">
      <alignment horizontal="left"/>
    </xf>
    <xf numFmtId="0" fontId="0" fillId="6" borderId="0" xfId="0" applyFill="1"/>
    <xf numFmtId="9" fontId="0" fillId="0" borderId="0" xfId="1" applyFont="1" applyFill="1"/>
    <xf numFmtId="0" fontId="0" fillId="7" borderId="0" xfId="0" applyFill="1" applyAlignment="1">
      <alignment horizontal="left"/>
    </xf>
    <xf numFmtId="0" fontId="0" fillId="7" borderId="0" xfId="0" applyFill="1"/>
    <xf numFmtId="22" fontId="0" fillId="0" borderId="0" xfId="0" applyNumberFormat="1"/>
    <xf numFmtId="2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8" borderId="0" xfId="0" applyFill="1"/>
    <xf numFmtId="0" fontId="0" fillId="0" borderId="3" xfId="0" applyBorder="1"/>
    <xf numFmtId="0" fontId="0" fillId="0" borderId="4" xfId="0" applyBorder="1"/>
    <xf numFmtId="0" fontId="1" fillId="0" borderId="0" xfId="0" applyFont="1"/>
    <xf numFmtId="22" fontId="0" fillId="7" borderId="0" xfId="0" applyNumberFormat="1" applyFill="1"/>
    <xf numFmtId="22" fontId="0" fillId="7" borderId="0" xfId="0" applyNumberFormat="1" applyFill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9" borderId="0" xfId="0" applyFill="1"/>
    <xf numFmtId="0" fontId="0" fillId="10" borderId="0" xfId="0" applyFill="1"/>
    <xf numFmtId="166" fontId="0" fillId="0" borderId="0" xfId="0" applyNumberFormat="1"/>
    <xf numFmtId="165" fontId="0" fillId="7" borderId="0" xfId="0" applyNumberFormat="1" applyFill="1"/>
    <xf numFmtId="164" fontId="0" fillId="0" borderId="0" xfId="0" applyNumberFormat="1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4" fillId="0" borderId="0" xfId="0" applyFont="1"/>
    <xf numFmtId="0" fontId="0" fillId="0" borderId="7" xfId="0" applyBorder="1"/>
    <xf numFmtId="0" fontId="6" fillId="0" borderId="0" xfId="0" applyFont="1"/>
    <xf numFmtId="0" fontId="4" fillId="0" borderId="3" xfId="0" applyFont="1" applyBorder="1"/>
    <xf numFmtId="14" fontId="0" fillId="0" borderId="3" xfId="0" applyNumberFormat="1" applyBorder="1"/>
    <xf numFmtId="0" fontId="0" fillId="7" borderId="0" xfId="0" applyFill="1" applyAlignment="1">
      <alignment horizontal="right"/>
    </xf>
    <xf numFmtId="0" fontId="7" fillId="0" borderId="0" xfId="0" applyFont="1"/>
    <xf numFmtId="0" fontId="8" fillId="0" borderId="0" xfId="0" applyFont="1"/>
    <xf numFmtId="2" fontId="0" fillId="3" borderId="0" xfId="0" applyNumberFormat="1" applyFill="1"/>
    <xf numFmtId="2" fontId="0" fillId="0" borderId="0" xfId="0" applyNumberFormat="1"/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22" fontId="0" fillId="0" borderId="0" xfId="0" applyNumberFormat="1" applyAlignment="1">
      <alignment horizontal="right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9" fontId="0" fillId="0" borderId="0" xfId="1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2" fontId="0" fillId="3" borderId="0" xfId="1" applyNumberFormat="1" applyFont="1" applyFill="1"/>
    <xf numFmtId="2" fontId="0" fillId="0" borderId="0" xfId="1" applyNumberFormat="1" applyFont="1" applyFill="1"/>
    <xf numFmtId="2" fontId="3" fillId="0" borderId="0" xfId="1" applyNumberFormat="1" applyFont="1" applyFill="1"/>
    <xf numFmtId="2" fontId="1" fillId="0" borderId="0" xfId="1" applyNumberFormat="1" applyFont="1" applyFill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ont>
        <color theme="1"/>
      </font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D1A8-D686-F244-99AA-4319E5CC26B2}">
  <dimension ref="A1:BD323"/>
  <sheetViews>
    <sheetView tabSelected="1" topLeftCell="AD1" zoomScale="90" zoomScaleNormal="90" workbookViewId="0">
      <pane ySplit="1" topLeftCell="A276" activePane="bottomLeft" state="frozen"/>
      <selection activeCell="S1" sqref="S1"/>
      <selection pane="bottomLeft" activeCell="AN288" sqref="AN288"/>
    </sheetView>
  </sheetViews>
  <sheetFormatPr defaultColWidth="11" defaultRowHeight="15.6" x14ac:dyDescent="0.6"/>
  <cols>
    <col min="1" max="1" width="16.84765625" style="14" bestFit="1" customWidth="1"/>
    <col min="2" max="2" width="11.84765625" style="14" bestFit="1" customWidth="1"/>
    <col min="3" max="3" width="4.6484375" bestFit="1" customWidth="1"/>
    <col min="4" max="4" width="10" bestFit="1" customWidth="1"/>
    <col min="5" max="5" width="9" bestFit="1" customWidth="1"/>
    <col min="6" max="6" width="9" customWidth="1"/>
    <col min="7" max="7" width="6" style="22" bestFit="1" customWidth="1"/>
    <col min="8" max="8" width="5.1484375" bestFit="1" customWidth="1"/>
    <col min="9" max="9" width="12.1484375" style="5" bestFit="1" customWidth="1"/>
    <col min="10" max="10" width="12.34765625" style="7" bestFit="1" customWidth="1"/>
    <col min="11" max="12" width="5.1484375" style="20" bestFit="1" customWidth="1"/>
    <col min="13" max="13" width="9.1484375" style="20" bestFit="1" customWidth="1"/>
    <col min="14" max="14" width="18.34765625" bestFit="1" customWidth="1"/>
    <col min="15" max="15" width="4.34765625" bestFit="1" customWidth="1"/>
    <col min="16" max="16" width="10.6484375" style="22" bestFit="1" customWidth="1"/>
    <col min="17" max="17" width="12.5" bestFit="1" customWidth="1"/>
    <col min="18" max="18" width="10.1484375" bestFit="1" customWidth="1"/>
    <col min="19" max="19" width="9.84765625" bestFit="1" customWidth="1"/>
    <col min="20" max="20" width="9.84765625" customWidth="1"/>
    <col min="21" max="21" width="12.34765625" style="5" bestFit="1" customWidth="1"/>
    <col min="22" max="22" width="12.5" style="7" bestFit="1" customWidth="1"/>
    <col min="23" max="23" width="10.34765625" style="5" bestFit="1" customWidth="1"/>
    <col min="24" max="24" width="12.1484375" style="7" bestFit="1" customWidth="1"/>
    <col min="25" max="25" width="12.1484375" style="7" customWidth="1"/>
    <col min="26" max="28" width="11.5" customWidth="1"/>
    <col min="29" max="30" width="15" bestFit="1" customWidth="1"/>
    <col min="31" max="31" width="11.34765625" bestFit="1" customWidth="1"/>
    <col min="32" max="32" width="14" bestFit="1" customWidth="1"/>
    <col min="33" max="33" width="8.6484375" style="20" bestFit="1" customWidth="1"/>
    <col min="34" max="34" width="9.5" style="20" bestFit="1" customWidth="1"/>
    <col min="35" max="35" width="8.34765625" style="20" bestFit="1" customWidth="1"/>
    <col min="36" max="36" width="13.84765625" style="22" bestFit="1" customWidth="1"/>
    <col min="37" max="37" width="11.5" style="22" bestFit="1" customWidth="1"/>
    <col min="38" max="38" width="13" style="22" bestFit="1" customWidth="1"/>
    <col min="39" max="39" width="13.5" style="77" bestFit="1" customWidth="1"/>
    <col min="40" max="40" width="14.1484375" style="22" bestFit="1" customWidth="1"/>
    <col min="41" max="41" width="14.1484375" style="58" customWidth="1"/>
    <col min="42" max="43" width="14.1484375" customWidth="1"/>
    <col min="44" max="44" width="13" bestFit="1" customWidth="1"/>
    <col min="45" max="45" width="11.34765625" bestFit="1" customWidth="1"/>
    <col min="46" max="47" width="14" bestFit="1" customWidth="1"/>
    <col min="48" max="48" width="26.6484375" bestFit="1" customWidth="1"/>
    <col min="49" max="49" width="43.34765625" bestFit="1" customWidth="1"/>
    <col min="50" max="50" width="16.34765625" bestFit="1" customWidth="1"/>
    <col min="51" max="51" width="37" bestFit="1" customWidth="1"/>
    <col min="52" max="53" width="37" customWidth="1"/>
    <col min="54" max="54" width="164.84765625" style="20" bestFit="1" customWidth="1"/>
    <col min="55" max="55" width="14.34765625" bestFit="1" customWidth="1"/>
    <col min="56" max="56" width="92" bestFit="1" customWidth="1"/>
    <col min="57" max="57" width="163.34765625" bestFit="1" customWidth="1"/>
  </cols>
  <sheetData>
    <row r="1" spans="1:54" x14ac:dyDescent="0.6">
      <c r="A1" s="24" t="s">
        <v>181</v>
      </c>
      <c r="B1" s="24" t="s">
        <v>191</v>
      </c>
      <c r="C1" s="25" t="s">
        <v>140</v>
      </c>
      <c r="D1" s="25" t="s">
        <v>490</v>
      </c>
      <c r="E1" s="25" t="s">
        <v>491</v>
      </c>
      <c r="F1" s="25"/>
      <c r="G1" s="21" t="s">
        <v>31</v>
      </c>
      <c r="H1" s="2" t="s">
        <v>35</v>
      </c>
      <c r="I1" s="4" t="s">
        <v>4</v>
      </c>
      <c r="J1" s="6" t="s">
        <v>5</v>
      </c>
      <c r="K1" s="19" t="s">
        <v>44</v>
      </c>
      <c r="L1" s="19" t="s">
        <v>45</v>
      </c>
      <c r="M1" s="19" t="s">
        <v>6</v>
      </c>
      <c r="N1" s="2" t="s">
        <v>32</v>
      </c>
      <c r="O1" s="2" t="s">
        <v>135</v>
      </c>
      <c r="P1" s="21" t="s">
        <v>7</v>
      </c>
      <c r="Q1" s="2" t="s">
        <v>8</v>
      </c>
      <c r="R1" s="2" t="s">
        <v>9</v>
      </c>
      <c r="S1" s="2" t="s">
        <v>133</v>
      </c>
      <c r="T1" s="2" t="s">
        <v>488</v>
      </c>
      <c r="U1" s="4" t="s">
        <v>10</v>
      </c>
      <c r="V1" s="6" t="s">
        <v>11</v>
      </c>
      <c r="W1" s="13" t="s">
        <v>20</v>
      </c>
      <c r="X1" s="8" t="s">
        <v>21</v>
      </c>
      <c r="Y1" s="8" t="s">
        <v>672</v>
      </c>
      <c r="Z1" s="3" t="s">
        <v>348</v>
      </c>
      <c r="AA1" s="3" t="s">
        <v>349</v>
      </c>
      <c r="AB1" s="3" t="s">
        <v>228</v>
      </c>
      <c r="AC1" s="2" t="s">
        <v>229</v>
      </c>
      <c r="AD1" s="2" t="s">
        <v>350</v>
      </c>
      <c r="AE1" s="2" t="s">
        <v>665</v>
      </c>
      <c r="AF1" s="2" t="s">
        <v>3</v>
      </c>
      <c r="AG1" s="19" t="s">
        <v>0</v>
      </c>
      <c r="AH1" s="19" t="s">
        <v>1</v>
      </c>
      <c r="AI1" s="19" t="s">
        <v>2</v>
      </c>
      <c r="AJ1" s="21" t="s">
        <v>24</v>
      </c>
      <c r="AK1" s="21" t="s">
        <v>13</v>
      </c>
      <c r="AL1" s="23" t="s">
        <v>26</v>
      </c>
      <c r="AM1" s="73" t="s">
        <v>27</v>
      </c>
      <c r="AN1" s="23" t="s">
        <v>231</v>
      </c>
      <c r="AO1" s="57" t="s">
        <v>248</v>
      </c>
      <c r="AP1" s="3" t="s">
        <v>232</v>
      </c>
      <c r="AQ1" s="3" t="s">
        <v>666</v>
      </c>
      <c r="AR1" s="12" t="s">
        <v>150</v>
      </c>
      <c r="AS1" s="12" t="s">
        <v>151</v>
      </c>
      <c r="AT1" s="12" t="s">
        <v>670</v>
      </c>
      <c r="AU1" s="12" t="s">
        <v>671</v>
      </c>
      <c r="AV1" s="12" t="s">
        <v>316</v>
      </c>
      <c r="AW1" s="12" t="s">
        <v>317</v>
      </c>
      <c r="AX1" s="12" t="s">
        <v>319</v>
      </c>
      <c r="AY1" s="12" t="s">
        <v>318</v>
      </c>
      <c r="AZ1" s="12" t="s">
        <v>457</v>
      </c>
      <c r="BA1" s="12" t="s">
        <v>459</v>
      </c>
      <c r="BB1" t="s">
        <v>30</v>
      </c>
    </row>
    <row r="2" spans="1:54" x14ac:dyDescent="0.6">
      <c r="A2" s="14" t="str">
        <f>IF(T2=7, "Y", "N")</f>
        <v>Y</v>
      </c>
      <c r="B2" s="14" t="str">
        <f>IF(Y2=7, "Y", "N")</f>
        <v>Y</v>
      </c>
      <c r="C2" t="s">
        <v>141</v>
      </c>
      <c r="D2" t="s">
        <v>63</v>
      </c>
      <c r="E2" t="s">
        <v>63</v>
      </c>
      <c r="F2" t="str">
        <f>D2&amp;"_"&amp;E2</f>
        <v>N_N</v>
      </c>
      <c r="G2" s="22">
        <v>1</v>
      </c>
      <c r="H2" t="s">
        <v>49</v>
      </c>
      <c r="I2" s="5">
        <v>44105</v>
      </c>
      <c r="J2" s="7">
        <v>0.54166666666666663</v>
      </c>
      <c r="K2" s="20">
        <v>12.5</v>
      </c>
      <c r="L2" s="20">
        <v>13</v>
      </c>
      <c r="M2" s="20">
        <v>17</v>
      </c>
      <c r="N2" t="s">
        <v>54</v>
      </c>
      <c r="O2" t="s">
        <v>182</v>
      </c>
      <c r="P2" s="22">
        <v>25</v>
      </c>
      <c r="Q2" t="s">
        <v>56</v>
      </c>
      <c r="R2" t="s">
        <v>59</v>
      </c>
      <c r="S2" t="s">
        <v>63</v>
      </c>
      <c r="T2">
        <f>DATEDIF(I2,U2,"d")</f>
        <v>7</v>
      </c>
      <c r="U2" s="5">
        <v>44112</v>
      </c>
      <c r="V2" s="7">
        <v>0.42291666666666666</v>
      </c>
      <c r="W2" s="5">
        <v>44119</v>
      </c>
      <c r="X2" s="7">
        <v>0.4145833333333333</v>
      </c>
      <c r="Y2" s="22">
        <f>DATEDIF(U2,W2,"d")</f>
        <v>7</v>
      </c>
      <c r="Z2" t="s">
        <v>214</v>
      </c>
      <c r="AA2" t="s">
        <v>214</v>
      </c>
      <c r="AB2">
        <v>1</v>
      </c>
      <c r="AC2" t="s">
        <v>46</v>
      </c>
      <c r="AD2" t="s">
        <v>352</v>
      </c>
      <c r="AE2" t="s">
        <v>242</v>
      </c>
      <c r="AF2" t="s">
        <v>47</v>
      </c>
      <c r="AG2" s="20">
        <v>11</v>
      </c>
      <c r="AH2" s="20">
        <v>9.5</v>
      </c>
      <c r="AI2" s="20">
        <v>3.5</v>
      </c>
      <c r="AJ2" s="22">
        <v>50</v>
      </c>
      <c r="AK2" s="22">
        <v>0</v>
      </c>
      <c r="AL2" s="22">
        <v>50</v>
      </c>
      <c r="AM2" s="74">
        <f t="shared" ref="AM2:AM33" si="0">((AJ2-AL2)/AJ2)</f>
        <v>0</v>
      </c>
      <c r="AN2" s="22" t="s">
        <v>245</v>
      </c>
      <c r="AO2" s="58">
        <v>0</v>
      </c>
      <c r="AP2" t="s">
        <v>233</v>
      </c>
      <c r="AQ2" t="s">
        <v>667</v>
      </c>
      <c r="AR2" t="s">
        <v>66</v>
      </c>
      <c r="AT2" t="s">
        <v>46</v>
      </c>
      <c r="AV2" t="s">
        <v>335</v>
      </c>
      <c r="AW2" t="s">
        <v>182</v>
      </c>
      <c r="AX2" t="s">
        <v>182</v>
      </c>
      <c r="AY2" t="s">
        <v>182</v>
      </c>
      <c r="AZ2" s="28"/>
      <c r="BA2" s="28"/>
      <c r="BB2" t="s">
        <v>73</v>
      </c>
    </row>
    <row r="3" spans="1:54" x14ac:dyDescent="0.6">
      <c r="A3" s="14" t="str">
        <f t="shared" ref="A3:A66" si="1">IF(T3=7, "Y", "N")</f>
        <v>Y</v>
      </c>
      <c r="B3" s="14" t="str">
        <f t="shared" ref="B3:B66" si="2">IF(Y3=7, "Y", "N")</f>
        <v>Y</v>
      </c>
      <c r="C3" t="s">
        <v>141</v>
      </c>
      <c r="D3" t="s">
        <v>63</v>
      </c>
      <c r="E3" t="s">
        <v>63</v>
      </c>
      <c r="F3" t="str">
        <f t="shared" ref="F3:F66" si="3">D3&amp;"_"&amp;E3</f>
        <v>N_N</v>
      </c>
      <c r="G3" s="22">
        <v>1</v>
      </c>
      <c r="H3" t="s">
        <v>49</v>
      </c>
      <c r="I3" s="5">
        <v>44105</v>
      </c>
      <c r="J3" s="7">
        <v>0.54166666666666663</v>
      </c>
      <c r="K3" s="20">
        <v>12.5</v>
      </c>
      <c r="L3" s="20">
        <v>13</v>
      </c>
      <c r="M3" s="20">
        <v>17</v>
      </c>
      <c r="N3" t="s">
        <v>54</v>
      </c>
      <c r="O3" t="s">
        <v>182</v>
      </c>
      <c r="P3" s="22">
        <v>25</v>
      </c>
      <c r="Q3" t="s">
        <v>56</v>
      </c>
      <c r="R3" t="s">
        <v>59</v>
      </c>
      <c r="S3" t="s">
        <v>63</v>
      </c>
      <c r="T3">
        <f t="shared" ref="T3:T66" si="4">DATEDIF(I3,U3,"d")</f>
        <v>7</v>
      </c>
      <c r="U3" s="5">
        <v>44112</v>
      </c>
      <c r="V3" s="7">
        <v>0.42291666666666666</v>
      </c>
      <c r="W3" s="5">
        <v>44119</v>
      </c>
      <c r="X3" s="7">
        <v>0.4145833333333333</v>
      </c>
      <c r="Y3" s="22">
        <f t="shared" ref="Y3:Y66" si="5">DATEDIF(U3,W3,"d")</f>
        <v>7</v>
      </c>
      <c r="Z3" t="s">
        <v>214</v>
      </c>
      <c r="AA3" t="s">
        <v>214</v>
      </c>
      <c r="AB3">
        <v>2</v>
      </c>
      <c r="AC3" t="s">
        <v>66</v>
      </c>
      <c r="AD3" t="s">
        <v>351</v>
      </c>
      <c r="AE3" t="s">
        <v>244</v>
      </c>
      <c r="AF3" t="s">
        <v>67</v>
      </c>
      <c r="AG3" s="20">
        <v>12.5</v>
      </c>
      <c r="AH3" s="20">
        <v>9</v>
      </c>
      <c r="AI3" s="20">
        <v>7.5</v>
      </c>
      <c r="AJ3" s="22">
        <v>60</v>
      </c>
      <c r="AK3" s="22">
        <v>0</v>
      </c>
      <c r="AL3" s="22">
        <v>0</v>
      </c>
      <c r="AM3" s="75">
        <f t="shared" si="0"/>
        <v>1</v>
      </c>
      <c r="AN3" s="22" t="s">
        <v>246</v>
      </c>
      <c r="AO3" s="58">
        <v>2</v>
      </c>
      <c r="AP3" t="s">
        <v>234</v>
      </c>
      <c r="AQ3" t="s">
        <v>667</v>
      </c>
      <c r="AR3" t="s">
        <v>66</v>
      </c>
      <c r="AT3" t="s">
        <v>46</v>
      </c>
      <c r="AV3" t="s">
        <v>335</v>
      </c>
      <c r="AW3" t="s">
        <v>182</v>
      </c>
      <c r="AX3" t="s">
        <v>182</v>
      </c>
      <c r="AY3" t="s">
        <v>182</v>
      </c>
      <c r="AZ3" s="28"/>
      <c r="BA3" s="28"/>
      <c r="BB3" t="s">
        <v>73</v>
      </c>
    </row>
    <row r="4" spans="1:54" ht="17.05" customHeight="1" x14ac:dyDescent="0.6">
      <c r="A4" s="14" t="str">
        <f t="shared" si="1"/>
        <v>Y</v>
      </c>
      <c r="B4" s="14" t="str">
        <f t="shared" si="2"/>
        <v>Y</v>
      </c>
      <c r="C4" t="s">
        <v>141</v>
      </c>
      <c r="D4" t="s">
        <v>63</v>
      </c>
      <c r="E4" t="s">
        <v>63</v>
      </c>
      <c r="F4" t="str">
        <f t="shared" si="3"/>
        <v>N_N</v>
      </c>
      <c r="G4" s="22">
        <v>2</v>
      </c>
      <c r="H4" t="s">
        <v>50</v>
      </c>
      <c r="I4" s="5">
        <v>44105</v>
      </c>
      <c r="J4" s="7">
        <v>0.54166666666666663</v>
      </c>
      <c r="K4" s="20">
        <v>11.4</v>
      </c>
      <c r="L4" s="20">
        <v>11.6</v>
      </c>
      <c r="M4" s="20">
        <v>17</v>
      </c>
      <c r="N4" t="s">
        <v>54</v>
      </c>
      <c r="O4" t="s">
        <v>182</v>
      </c>
      <c r="P4" s="22">
        <v>28</v>
      </c>
      <c r="Q4" t="s">
        <v>57</v>
      </c>
      <c r="R4" t="s">
        <v>60</v>
      </c>
      <c r="S4" t="s">
        <v>63</v>
      </c>
      <c r="T4">
        <f t="shared" si="4"/>
        <v>7</v>
      </c>
      <c r="U4" s="5">
        <v>44112</v>
      </c>
      <c r="V4" s="7">
        <v>0.4368055555555555</v>
      </c>
      <c r="W4" s="5">
        <v>44119</v>
      </c>
      <c r="X4" s="7">
        <v>0.4201388888888889</v>
      </c>
      <c r="Y4" s="22">
        <f t="shared" si="5"/>
        <v>7</v>
      </c>
      <c r="Z4" t="s">
        <v>214</v>
      </c>
      <c r="AA4" t="s">
        <v>214</v>
      </c>
      <c r="AB4">
        <v>1</v>
      </c>
      <c r="AC4" t="s">
        <v>46</v>
      </c>
      <c r="AD4" t="s">
        <v>352</v>
      </c>
      <c r="AE4" t="s">
        <v>242</v>
      </c>
      <c r="AF4" t="s">
        <v>47</v>
      </c>
      <c r="AG4" s="20">
        <v>6</v>
      </c>
      <c r="AH4" s="20">
        <v>5.3</v>
      </c>
      <c r="AI4" s="20">
        <v>8</v>
      </c>
      <c r="AJ4" s="22">
        <v>100</v>
      </c>
      <c r="AK4" s="22">
        <v>0</v>
      </c>
      <c r="AL4" s="22">
        <v>100</v>
      </c>
      <c r="AM4" s="74">
        <f t="shared" si="0"/>
        <v>0</v>
      </c>
      <c r="AN4" s="22" t="s">
        <v>245</v>
      </c>
      <c r="AO4" s="58">
        <v>0</v>
      </c>
      <c r="AP4" t="s">
        <v>233</v>
      </c>
      <c r="AQ4" t="s">
        <v>667</v>
      </c>
      <c r="AR4" t="s">
        <v>66</v>
      </c>
      <c r="AT4" t="s">
        <v>46</v>
      </c>
      <c r="AV4" t="s">
        <v>335</v>
      </c>
      <c r="AW4" t="s">
        <v>182</v>
      </c>
      <c r="AX4" t="s">
        <v>182</v>
      </c>
      <c r="AY4" t="s">
        <v>182</v>
      </c>
      <c r="AZ4" s="28"/>
      <c r="BA4" s="28"/>
      <c r="BB4" t="s">
        <v>73</v>
      </c>
    </row>
    <row r="5" spans="1:54" x14ac:dyDescent="0.6">
      <c r="A5" s="14" t="str">
        <f t="shared" si="1"/>
        <v>Y</v>
      </c>
      <c r="B5" s="14" t="str">
        <f t="shared" si="2"/>
        <v>Y</v>
      </c>
      <c r="C5" t="s">
        <v>141</v>
      </c>
      <c r="D5" t="s">
        <v>63</v>
      </c>
      <c r="E5" t="s">
        <v>63</v>
      </c>
      <c r="F5" t="str">
        <f t="shared" si="3"/>
        <v>N_N</v>
      </c>
      <c r="G5" s="22">
        <v>2</v>
      </c>
      <c r="H5" t="s">
        <v>50</v>
      </c>
      <c r="I5" s="5">
        <v>44105</v>
      </c>
      <c r="J5" s="7">
        <v>0.54166666666666663</v>
      </c>
      <c r="K5" s="20">
        <v>11.4</v>
      </c>
      <c r="L5" s="20">
        <v>11.6</v>
      </c>
      <c r="M5" s="20">
        <v>17</v>
      </c>
      <c r="N5" t="s">
        <v>54</v>
      </c>
      <c r="O5" t="s">
        <v>182</v>
      </c>
      <c r="P5" s="22">
        <v>28</v>
      </c>
      <c r="Q5" t="s">
        <v>57</v>
      </c>
      <c r="R5" t="s">
        <v>60</v>
      </c>
      <c r="S5" t="s">
        <v>63</v>
      </c>
      <c r="T5">
        <f t="shared" si="4"/>
        <v>7</v>
      </c>
      <c r="U5" s="5">
        <v>44112</v>
      </c>
      <c r="V5" s="7">
        <v>0.4368055555555555</v>
      </c>
      <c r="W5" s="5">
        <v>44119</v>
      </c>
      <c r="X5" s="7">
        <v>0.4201388888888889</v>
      </c>
      <c r="Y5" s="22">
        <f t="shared" si="5"/>
        <v>7</v>
      </c>
      <c r="Z5" t="s">
        <v>214</v>
      </c>
      <c r="AA5" t="s">
        <v>214</v>
      </c>
      <c r="AB5">
        <v>2</v>
      </c>
      <c r="AC5" t="s">
        <v>66</v>
      </c>
      <c r="AD5" t="s">
        <v>351</v>
      </c>
      <c r="AE5" t="s">
        <v>244</v>
      </c>
      <c r="AF5" t="s">
        <v>67</v>
      </c>
      <c r="AG5" s="20">
        <v>6.5</v>
      </c>
      <c r="AH5" s="20">
        <v>4.5</v>
      </c>
      <c r="AI5" s="20">
        <v>4.5</v>
      </c>
      <c r="AJ5" s="22">
        <v>90</v>
      </c>
      <c r="AK5" s="22">
        <v>0</v>
      </c>
      <c r="AL5" s="22">
        <v>10</v>
      </c>
      <c r="AM5" s="75">
        <f t="shared" si="0"/>
        <v>0.88888888888888884</v>
      </c>
      <c r="AN5" s="22" t="s">
        <v>246</v>
      </c>
      <c r="AO5" s="58">
        <v>2</v>
      </c>
      <c r="AP5" t="s">
        <v>234</v>
      </c>
      <c r="AQ5" t="s">
        <v>667</v>
      </c>
      <c r="AR5" t="s">
        <v>66</v>
      </c>
      <c r="AT5" t="s">
        <v>46</v>
      </c>
      <c r="AV5" t="s">
        <v>335</v>
      </c>
      <c r="AW5" t="s">
        <v>182</v>
      </c>
      <c r="AX5" t="s">
        <v>182</v>
      </c>
      <c r="AY5" t="s">
        <v>182</v>
      </c>
      <c r="AZ5" s="28"/>
      <c r="BA5" s="28"/>
      <c r="BB5" t="s">
        <v>73</v>
      </c>
    </row>
    <row r="6" spans="1:54" ht="17.05" customHeight="1" x14ac:dyDescent="0.6">
      <c r="A6" s="14" t="str">
        <f t="shared" si="1"/>
        <v>Y</v>
      </c>
      <c r="B6" s="14" t="str">
        <f t="shared" si="2"/>
        <v>Y</v>
      </c>
      <c r="C6" t="s">
        <v>141</v>
      </c>
      <c r="D6" t="s">
        <v>63</v>
      </c>
      <c r="E6" t="s">
        <v>63</v>
      </c>
      <c r="F6" t="str">
        <f t="shared" si="3"/>
        <v>N_N</v>
      </c>
      <c r="G6" s="22">
        <v>4</v>
      </c>
      <c r="H6" t="s">
        <v>52</v>
      </c>
      <c r="I6" s="5">
        <v>44105</v>
      </c>
      <c r="J6" s="7">
        <v>0.54166666666666663</v>
      </c>
      <c r="K6" s="20">
        <v>11</v>
      </c>
      <c r="L6" s="20">
        <v>10.5</v>
      </c>
      <c r="M6" s="20">
        <v>17.5</v>
      </c>
      <c r="N6" t="s">
        <v>55</v>
      </c>
      <c r="O6" t="s">
        <v>182</v>
      </c>
      <c r="P6" s="22">
        <v>20</v>
      </c>
      <c r="Q6" t="s">
        <v>58</v>
      </c>
      <c r="R6" t="s">
        <v>127</v>
      </c>
      <c r="S6" s="56" t="s">
        <v>127</v>
      </c>
      <c r="T6">
        <f t="shared" si="4"/>
        <v>7</v>
      </c>
      <c r="U6" s="5">
        <v>44112</v>
      </c>
      <c r="V6" s="7">
        <v>0.54166666666666663</v>
      </c>
      <c r="W6" s="5">
        <v>44119</v>
      </c>
      <c r="X6" s="7">
        <v>0.43194444444444446</v>
      </c>
      <c r="Y6" s="22">
        <f t="shared" si="5"/>
        <v>7</v>
      </c>
      <c r="Z6" t="s">
        <v>214</v>
      </c>
      <c r="AA6" t="s">
        <v>214</v>
      </c>
      <c r="AB6">
        <v>1</v>
      </c>
      <c r="AC6" t="s">
        <v>46</v>
      </c>
      <c r="AD6" t="s">
        <v>352</v>
      </c>
      <c r="AE6" t="s">
        <v>242</v>
      </c>
      <c r="AF6" t="s">
        <v>47</v>
      </c>
      <c r="AG6" s="20">
        <v>12.5</v>
      </c>
      <c r="AH6" s="20">
        <v>8.5</v>
      </c>
      <c r="AI6" s="20">
        <v>8</v>
      </c>
      <c r="AJ6" s="22">
        <v>80</v>
      </c>
      <c r="AK6" s="22">
        <v>0</v>
      </c>
      <c r="AL6" s="22">
        <v>80</v>
      </c>
      <c r="AM6" s="74">
        <f t="shared" si="0"/>
        <v>0</v>
      </c>
      <c r="AN6" s="22" t="s">
        <v>245</v>
      </c>
      <c r="AO6" s="58">
        <v>0</v>
      </c>
      <c r="AP6" t="s">
        <v>233</v>
      </c>
      <c r="AQ6" t="s">
        <v>667</v>
      </c>
      <c r="AR6" t="s">
        <v>66</v>
      </c>
      <c r="AT6" t="s">
        <v>46</v>
      </c>
      <c r="AV6" t="s">
        <v>335</v>
      </c>
      <c r="AW6" t="s">
        <v>182</v>
      </c>
      <c r="AX6" t="s">
        <v>182</v>
      </c>
      <c r="AY6" t="s">
        <v>182</v>
      </c>
      <c r="AZ6" s="28"/>
      <c r="BA6" s="28"/>
      <c r="BB6" t="s">
        <v>75</v>
      </c>
    </row>
    <row r="7" spans="1:54" x14ac:dyDescent="0.6">
      <c r="A7" s="14" t="str">
        <f t="shared" si="1"/>
        <v>Y</v>
      </c>
      <c r="B7" s="14" t="str">
        <f t="shared" si="2"/>
        <v>Y</v>
      </c>
      <c r="C7" t="s">
        <v>141</v>
      </c>
      <c r="D7" t="s">
        <v>63</v>
      </c>
      <c r="E7" t="s">
        <v>63</v>
      </c>
      <c r="F7" t="str">
        <f t="shared" si="3"/>
        <v>N_N</v>
      </c>
      <c r="G7" s="22">
        <v>4</v>
      </c>
      <c r="H7" t="s">
        <v>52</v>
      </c>
      <c r="I7" s="5">
        <v>44105</v>
      </c>
      <c r="J7" s="7">
        <v>0.54166666666666663</v>
      </c>
      <c r="K7" s="20">
        <v>11</v>
      </c>
      <c r="L7" s="20">
        <v>10.5</v>
      </c>
      <c r="M7" s="20">
        <v>17.5</v>
      </c>
      <c r="N7" t="s">
        <v>55</v>
      </c>
      <c r="O7" t="s">
        <v>182</v>
      </c>
      <c r="P7" s="22">
        <v>20</v>
      </c>
      <c r="Q7" t="s">
        <v>58</v>
      </c>
      <c r="R7" t="s">
        <v>127</v>
      </c>
      <c r="S7" s="56" t="s">
        <v>127</v>
      </c>
      <c r="T7">
        <f t="shared" si="4"/>
        <v>7</v>
      </c>
      <c r="U7" s="5">
        <v>44112</v>
      </c>
      <c r="V7" s="7">
        <v>0.54166666666666663</v>
      </c>
      <c r="W7" s="5">
        <v>44119</v>
      </c>
      <c r="X7" s="7">
        <v>0.43194444444444446</v>
      </c>
      <c r="Y7" s="22">
        <f t="shared" si="5"/>
        <v>7</v>
      </c>
      <c r="Z7" t="s">
        <v>214</v>
      </c>
      <c r="AA7" t="s">
        <v>214</v>
      </c>
      <c r="AB7">
        <v>2</v>
      </c>
      <c r="AC7" t="s">
        <v>66</v>
      </c>
      <c r="AD7" t="s">
        <v>351</v>
      </c>
      <c r="AE7" t="s">
        <v>244</v>
      </c>
      <c r="AF7" t="s">
        <v>67</v>
      </c>
      <c r="AG7" s="20">
        <v>14.5</v>
      </c>
      <c r="AH7" s="20">
        <v>10</v>
      </c>
      <c r="AI7" s="20">
        <v>8.5</v>
      </c>
      <c r="AJ7" s="22">
        <v>85</v>
      </c>
      <c r="AK7" s="22">
        <v>0</v>
      </c>
      <c r="AL7" s="22">
        <v>60</v>
      </c>
      <c r="AM7" s="74">
        <f t="shared" si="0"/>
        <v>0.29411764705882354</v>
      </c>
      <c r="AN7" s="22" t="s">
        <v>246</v>
      </c>
      <c r="AO7" s="58">
        <v>2</v>
      </c>
      <c r="AP7" t="s">
        <v>234</v>
      </c>
      <c r="AQ7" t="s">
        <v>667</v>
      </c>
      <c r="AR7" t="s">
        <v>66</v>
      </c>
      <c r="AT7" t="s">
        <v>46</v>
      </c>
      <c r="AV7" t="s">
        <v>335</v>
      </c>
      <c r="AW7" t="s">
        <v>182</v>
      </c>
      <c r="AX7" t="s">
        <v>182</v>
      </c>
      <c r="AY7" t="s">
        <v>182</v>
      </c>
      <c r="AZ7" s="28"/>
      <c r="BA7" s="28"/>
      <c r="BB7" t="s">
        <v>75</v>
      </c>
    </row>
    <row r="8" spans="1:54" ht="17.05" customHeight="1" x14ac:dyDescent="0.6">
      <c r="A8" s="14" t="str">
        <f t="shared" si="1"/>
        <v>Y</v>
      </c>
      <c r="B8" s="14" t="str">
        <f t="shared" si="2"/>
        <v>Y</v>
      </c>
      <c r="C8" t="s">
        <v>141</v>
      </c>
      <c r="D8" t="s">
        <v>63</v>
      </c>
      <c r="E8" t="s">
        <v>63</v>
      </c>
      <c r="F8" t="str">
        <f t="shared" si="3"/>
        <v>N_N</v>
      </c>
      <c r="G8" s="22">
        <v>5</v>
      </c>
      <c r="H8" t="s">
        <v>53</v>
      </c>
      <c r="I8" s="5">
        <v>44105</v>
      </c>
      <c r="K8" s="20">
        <v>12.5</v>
      </c>
      <c r="L8" s="20">
        <v>12.1</v>
      </c>
      <c r="M8" s="20">
        <v>20</v>
      </c>
      <c r="N8" t="s">
        <v>54</v>
      </c>
      <c r="O8" t="s">
        <v>182</v>
      </c>
      <c r="P8" s="22">
        <v>22</v>
      </c>
      <c r="Q8" t="s">
        <v>22</v>
      </c>
      <c r="R8" t="s">
        <v>61</v>
      </c>
      <c r="S8" t="s">
        <v>63</v>
      </c>
      <c r="T8">
        <f t="shared" si="4"/>
        <v>7</v>
      </c>
      <c r="U8" s="5">
        <v>44112</v>
      </c>
      <c r="V8" s="7">
        <v>0.5541666666666667</v>
      </c>
      <c r="W8" s="5">
        <v>44119</v>
      </c>
      <c r="X8" s="7">
        <v>0.4381944444444445</v>
      </c>
      <c r="Y8" s="22">
        <f t="shared" si="5"/>
        <v>7</v>
      </c>
      <c r="Z8" t="s">
        <v>214</v>
      </c>
      <c r="AA8" t="s">
        <v>214</v>
      </c>
      <c r="AB8">
        <v>1</v>
      </c>
      <c r="AC8" t="s">
        <v>46</v>
      </c>
      <c r="AD8" t="s">
        <v>352</v>
      </c>
      <c r="AE8" t="s">
        <v>244</v>
      </c>
      <c r="AF8" t="s">
        <v>47</v>
      </c>
      <c r="AG8" s="20">
        <v>5.6</v>
      </c>
      <c r="AH8" s="20">
        <v>4</v>
      </c>
      <c r="AI8" s="20">
        <v>3.9</v>
      </c>
      <c r="AJ8" s="22">
        <v>100</v>
      </c>
      <c r="AK8" s="22">
        <v>0</v>
      </c>
      <c r="AL8" s="22">
        <v>100</v>
      </c>
      <c r="AM8" s="74">
        <f t="shared" si="0"/>
        <v>0</v>
      </c>
      <c r="AN8" s="22" t="s">
        <v>245</v>
      </c>
      <c r="AO8" s="58">
        <v>0</v>
      </c>
      <c r="AP8" t="s">
        <v>233</v>
      </c>
      <c r="AQ8" t="s">
        <v>667</v>
      </c>
      <c r="AR8" t="s">
        <v>66</v>
      </c>
      <c r="AT8" t="s">
        <v>46</v>
      </c>
      <c r="AV8" t="s">
        <v>335</v>
      </c>
      <c r="AW8" t="s">
        <v>182</v>
      </c>
      <c r="AX8" t="s">
        <v>182</v>
      </c>
      <c r="AY8" t="s">
        <v>182</v>
      </c>
      <c r="AZ8" s="28"/>
      <c r="BA8" s="28"/>
      <c r="BB8" t="s">
        <v>76</v>
      </c>
    </row>
    <row r="9" spans="1:54" x14ac:dyDescent="0.6">
      <c r="A9" s="14" t="str">
        <f t="shared" si="1"/>
        <v>Y</v>
      </c>
      <c r="B9" s="14" t="str">
        <f t="shared" si="2"/>
        <v>Y</v>
      </c>
      <c r="C9" t="s">
        <v>141</v>
      </c>
      <c r="D9" t="s">
        <v>63</v>
      </c>
      <c r="E9" t="s">
        <v>63</v>
      </c>
      <c r="F9" t="str">
        <f t="shared" si="3"/>
        <v>N_N</v>
      </c>
      <c r="G9" s="22">
        <v>5</v>
      </c>
      <c r="H9" t="s">
        <v>53</v>
      </c>
      <c r="I9" s="5">
        <v>44105</v>
      </c>
      <c r="J9" s="7">
        <v>0.54166666666666663</v>
      </c>
      <c r="K9" s="20">
        <v>12.5</v>
      </c>
      <c r="L9" s="20">
        <v>12.1</v>
      </c>
      <c r="M9" s="20">
        <v>20</v>
      </c>
      <c r="N9" t="s">
        <v>54</v>
      </c>
      <c r="O9" t="s">
        <v>182</v>
      </c>
      <c r="P9" s="22">
        <v>22</v>
      </c>
      <c r="Q9" t="s">
        <v>22</v>
      </c>
      <c r="R9" t="s">
        <v>61</v>
      </c>
      <c r="S9" t="s">
        <v>63</v>
      </c>
      <c r="T9">
        <f t="shared" si="4"/>
        <v>7</v>
      </c>
      <c r="U9" s="5">
        <v>44112</v>
      </c>
      <c r="V9" s="7">
        <v>0.5541666666666667</v>
      </c>
      <c r="W9" s="5">
        <v>44119</v>
      </c>
      <c r="X9" s="7">
        <v>0.4381944444444445</v>
      </c>
      <c r="Y9" s="22">
        <f t="shared" si="5"/>
        <v>7</v>
      </c>
      <c r="Z9" t="s">
        <v>214</v>
      </c>
      <c r="AA9" t="s">
        <v>214</v>
      </c>
      <c r="AB9">
        <v>2</v>
      </c>
      <c r="AC9" t="s">
        <v>66</v>
      </c>
      <c r="AD9" t="s">
        <v>351</v>
      </c>
      <c r="AE9" t="s">
        <v>242</v>
      </c>
      <c r="AF9" t="s">
        <v>67</v>
      </c>
      <c r="AG9" s="20">
        <v>5</v>
      </c>
      <c r="AH9" s="20">
        <v>3</v>
      </c>
      <c r="AI9" s="20">
        <v>6.5</v>
      </c>
      <c r="AJ9" s="22">
        <v>95</v>
      </c>
      <c r="AK9" s="22">
        <v>0</v>
      </c>
      <c r="AL9" s="22">
        <v>0</v>
      </c>
      <c r="AM9" s="74">
        <f t="shared" si="0"/>
        <v>1</v>
      </c>
      <c r="AN9" s="22" t="s">
        <v>246</v>
      </c>
      <c r="AO9" s="58">
        <v>2</v>
      </c>
      <c r="AP9" t="s">
        <v>234</v>
      </c>
      <c r="AQ9" t="s">
        <v>667</v>
      </c>
      <c r="AR9" t="s">
        <v>66</v>
      </c>
      <c r="AT9" t="s">
        <v>46</v>
      </c>
      <c r="AV9" t="s">
        <v>335</v>
      </c>
      <c r="AW9" t="s">
        <v>182</v>
      </c>
      <c r="AX9" t="s">
        <v>182</v>
      </c>
      <c r="AY9" t="s">
        <v>182</v>
      </c>
      <c r="AZ9" s="28"/>
      <c r="BA9" s="28"/>
      <c r="BB9" t="s">
        <v>76</v>
      </c>
    </row>
    <row r="10" spans="1:54" x14ac:dyDescent="0.6">
      <c r="A10" s="14" t="str">
        <f t="shared" si="1"/>
        <v>N</v>
      </c>
      <c r="B10" s="14" t="str">
        <f t="shared" si="2"/>
        <v>Y</v>
      </c>
      <c r="C10" t="s">
        <v>141</v>
      </c>
      <c r="D10" t="s">
        <v>63</v>
      </c>
      <c r="E10" t="s">
        <v>63</v>
      </c>
      <c r="F10" t="str">
        <f t="shared" si="3"/>
        <v>N_N</v>
      </c>
      <c r="G10" s="22">
        <v>6</v>
      </c>
      <c r="H10" t="s">
        <v>49</v>
      </c>
      <c r="I10" s="5">
        <v>44117</v>
      </c>
      <c r="J10" s="7">
        <v>0.60416666666666663</v>
      </c>
      <c r="K10" s="20">
        <v>9.5</v>
      </c>
      <c r="L10" s="20">
        <v>9.5</v>
      </c>
      <c r="M10" s="20">
        <v>16</v>
      </c>
      <c r="N10" t="s">
        <v>55</v>
      </c>
      <c r="O10" t="s">
        <v>182</v>
      </c>
      <c r="P10" s="22">
        <v>19</v>
      </c>
      <c r="Q10" t="s">
        <v>22</v>
      </c>
      <c r="R10" t="s">
        <v>80</v>
      </c>
      <c r="S10" s="56" t="s">
        <v>80</v>
      </c>
      <c r="T10">
        <f t="shared" si="4"/>
        <v>9</v>
      </c>
      <c r="U10" s="5">
        <v>44126</v>
      </c>
      <c r="V10" s="7">
        <v>0.41250000000000003</v>
      </c>
      <c r="W10" s="5">
        <v>44133</v>
      </c>
      <c r="X10" s="7">
        <v>0.45</v>
      </c>
      <c r="Y10" s="22">
        <f t="shared" si="5"/>
        <v>7</v>
      </c>
      <c r="Z10" t="s">
        <v>214</v>
      </c>
      <c r="AA10" t="s">
        <v>214</v>
      </c>
      <c r="AB10">
        <v>1</v>
      </c>
      <c r="AC10" t="s">
        <v>46</v>
      </c>
      <c r="AD10" t="s">
        <v>352</v>
      </c>
      <c r="AE10" t="s">
        <v>244</v>
      </c>
      <c r="AF10" t="s">
        <v>47</v>
      </c>
      <c r="AG10" s="20">
        <v>12</v>
      </c>
      <c r="AH10" s="20">
        <v>9</v>
      </c>
      <c r="AI10" s="20">
        <v>9</v>
      </c>
      <c r="AJ10" s="22">
        <v>60</v>
      </c>
      <c r="AK10" s="22">
        <v>0</v>
      </c>
      <c r="AL10" s="22">
        <v>60</v>
      </c>
      <c r="AM10" s="74">
        <f t="shared" si="0"/>
        <v>0</v>
      </c>
      <c r="AN10" s="22" t="s">
        <v>245</v>
      </c>
      <c r="AO10" s="58">
        <v>0</v>
      </c>
      <c r="AP10" t="s">
        <v>233</v>
      </c>
      <c r="AQ10" t="s">
        <v>667</v>
      </c>
      <c r="AR10" t="s">
        <v>66</v>
      </c>
      <c r="AT10" t="s">
        <v>46</v>
      </c>
      <c r="AV10" t="s">
        <v>335</v>
      </c>
      <c r="AW10" t="s">
        <v>182</v>
      </c>
      <c r="AX10" t="s">
        <v>182</v>
      </c>
      <c r="AY10" t="s">
        <v>182</v>
      </c>
      <c r="AZ10" s="28"/>
      <c r="BA10" s="28"/>
      <c r="BB10" t="s">
        <v>82</v>
      </c>
    </row>
    <row r="11" spans="1:54" x14ac:dyDescent="0.6">
      <c r="A11" s="14" t="str">
        <f t="shared" si="1"/>
        <v>N</v>
      </c>
      <c r="B11" s="14" t="str">
        <f t="shared" si="2"/>
        <v>Y</v>
      </c>
      <c r="C11" t="s">
        <v>141</v>
      </c>
      <c r="D11" t="s">
        <v>63</v>
      </c>
      <c r="E11" t="s">
        <v>63</v>
      </c>
      <c r="F11" t="str">
        <f t="shared" si="3"/>
        <v>N_N</v>
      </c>
      <c r="G11" s="22">
        <v>6</v>
      </c>
      <c r="H11" t="s">
        <v>49</v>
      </c>
      <c r="I11" s="5">
        <v>44117</v>
      </c>
      <c r="J11" s="7">
        <v>0.60416666666666663</v>
      </c>
      <c r="K11" s="20">
        <v>9.5</v>
      </c>
      <c r="L11" s="20">
        <v>9.5</v>
      </c>
      <c r="M11" s="20">
        <v>16</v>
      </c>
      <c r="N11" t="s">
        <v>55</v>
      </c>
      <c r="O11" t="s">
        <v>182</v>
      </c>
      <c r="P11" s="22">
        <v>19</v>
      </c>
      <c r="Q11" t="s">
        <v>22</v>
      </c>
      <c r="R11" t="s">
        <v>80</v>
      </c>
      <c r="S11" s="56" t="s">
        <v>80</v>
      </c>
      <c r="T11">
        <f t="shared" si="4"/>
        <v>9</v>
      </c>
      <c r="U11" s="5">
        <v>44126</v>
      </c>
      <c r="V11" s="7">
        <v>0.41250000000000003</v>
      </c>
      <c r="W11" s="5">
        <v>44133</v>
      </c>
      <c r="X11" s="7">
        <v>0.45</v>
      </c>
      <c r="Y11" s="22">
        <f t="shared" si="5"/>
        <v>7</v>
      </c>
      <c r="Z11" t="s">
        <v>214</v>
      </c>
      <c r="AA11" t="s">
        <v>214</v>
      </c>
      <c r="AB11">
        <v>2</v>
      </c>
      <c r="AC11" t="s">
        <v>66</v>
      </c>
      <c r="AD11" t="s">
        <v>351</v>
      </c>
      <c r="AE11" t="s">
        <v>242</v>
      </c>
      <c r="AF11" t="s">
        <v>67</v>
      </c>
      <c r="AG11" s="20">
        <v>12.5</v>
      </c>
      <c r="AH11" s="20">
        <v>5</v>
      </c>
      <c r="AI11" s="20">
        <v>15</v>
      </c>
      <c r="AJ11" s="22">
        <v>80</v>
      </c>
      <c r="AK11" s="22">
        <v>0</v>
      </c>
      <c r="AL11" s="22">
        <v>0</v>
      </c>
      <c r="AM11" s="74">
        <f t="shared" si="0"/>
        <v>1</v>
      </c>
      <c r="AN11" s="22" t="s">
        <v>246</v>
      </c>
      <c r="AO11" s="58">
        <v>2</v>
      </c>
      <c r="AP11" t="s">
        <v>234</v>
      </c>
      <c r="AQ11" t="s">
        <v>667</v>
      </c>
      <c r="AR11" t="s">
        <v>66</v>
      </c>
      <c r="AT11" t="s">
        <v>46</v>
      </c>
      <c r="AV11" t="s">
        <v>335</v>
      </c>
      <c r="AW11" t="s">
        <v>182</v>
      </c>
      <c r="AX11" t="s">
        <v>182</v>
      </c>
      <c r="AY11" t="s">
        <v>182</v>
      </c>
      <c r="AZ11" s="28"/>
      <c r="BA11" s="28"/>
      <c r="BB11" t="s">
        <v>82</v>
      </c>
    </row>
    <row r="12" spans="1:54" x14ac:dyDescent="0.6">
      <c r="A12" s="14" t="str">
        <f t="shared" si="1"/>
        <v>Y</v>
      </c>
      <c r="B12" s="14" t="str">
        <f t="shared" si="2"/>
        <v>Y</v>
      </c>
      <c r="C12" t="s">
        <v>141</v>
      </c>
      <c r="D12" t="s">
        <v>63</v>
      </c>
      <c r="E12" t="s">
        <v>63</v>
      </c>
      <c r="F12" t="str">
        <f t="shared" si="3"/>
        <v>N_N</v>
      </c>
      <c r="G12" s="22">
        <v>7</v>
      </c>
      <c r="H12" t="s">
        <v>50</v>
      </c>
      <c r="I12" s="5">
        <v>44119</v>
      </c>
      <c r="J12" s="7">
        <v>0.53125</v>
      </c>
      <c r="K12" s="20">
        <v>12</v>
      </c>
      <c r="L12" s="20">
        <v>12.5</v>
      </c>
      <c r="M12" s="20">
        <v>22</v>
      </c>
      <c r="N12" t="s">
        <v>71</v>
      </c>
      <c r="O12" t="s">
        <v>182</v>
      </c>
      <c r="P12" s="22">
        <v>35</v>
      </c>
      <c r="Q12" t="s">
        <v>58</v>
      </c>
      <c r="R12" t="s">
        <v>81</v>
      </c>
      <c r="S12" s="56" t="s">
        <v>81</v>
      </c>
      <c r="T12">
        <f t="shared" si="4"/>
        <v>7</v>
      </c>
      <c r="U12" s="5">
        <v>44126</v>
      </c>
      <c r="V12" s="7">
        <v>0.4201388888888889</v>
      </c>
      <c r="W12" s="5">
        <v>44133</v>
      </c>
      <c r="X12" s="7">
        <v>0.45347222222222222</v>
      </c>
      <c r="Y12" s="22">
        <f t="shared" si="5"/>
        <v>7</v>
      </c>
      <c r="Z12" t="s">
        <v>214</v>
      </c>
      <c r="AA12" t="s">
        <v>214</v>
      </c>
      <c r="AB12">
        <v>1</v>
      </c>
      <c r="AC12" t="s">
        <v>46</v>
      </c>
      <c r="AD12" t="s">
        <v>352</v>
      </c>
      <c r="AE12" t="s">
        <v>242</v>
      </c>
      <c r="AF12" t="s">
        <v>47</v>
      </c>
      <c r="AG12" s="20">
        <v>10.5</v>
      </c>
      <c r="AH12" s="20">
        <v>8</v>
      </c>
      <c r="AI12" s="20">
        <v>10</v>
      </c>
      <c r="AJ12" s="22">
        <v>85</v>
      </c>
      <c r="AK12" s="22">
        <v>0</v>
      </c>
      <c r="AL12" s="22">
        <v>85</v>
      </c>
      <c r="AM12" s="74">
        <f t="shared" si="0"/>
        <v>0</v>
      </c>
      <c r="AN12" s="22" t="s">
        <v>245</v>
      </c>
      <c r="AO12" s="58">
        <v>0</v>
      </c>
      <c r="AP12" t="s">
        <v>233</v>
      </c>
      <c r="AQ12" t="s">
        <v>667</v>
      </c>
      <c r="AR12" t="s">
        <v>66</v>
      </c>
      <c r="AT12" t="s">
        <v>46</v>
      </c>
      <c r="AV12" t="s">
        <v>335</v>
      </c>
      <c r="AW12" t="s">
        <v>182</v>
      </c>
      <c r="AX12" t="s">
        <v>182</v>
      </c>
      <c r="AY12" t="s">
        <v>182</v>
      </c>
      <c r="AZ12" s="28"/>
      <c r="BA12" s="28"/>
      <c r="BB12" t="s">
        <v>83</v>
      </c>
    </row>
    <row r="13" spans="1:54" x14ac:dyDescent="0.6">
      <c r="A13" s="14" t="str">
        <f t="shared" si="1"/>
        <v>Y</v>
      </c>
      <c r="B13" s="14" t="str">
        <f t="shared" si="2"/>
        <v>Y</v>
      </c>
      <c r="C13" t="s">
        <v>141</v>
      </c>
      <c r="D13" t="s">
        <v>63</v>
      </c>
      <c r="E13" t="s">
        <v>63</v>
      </c>
      <c r="F13" t="str">
        <f t="shared" si="3"/>
        <v>N_N</v>
      </c>
      <c r="G13" s="22">
        <v>7</v>
      </c>
      <c r="H13" t="s">
        <v>50</v>
      </c>
      <c r="I13" s="5">
        <v>44119</v>
      </c>
      <c r="J13" s="7">
        <v>0.53125</v>
      </c>
      <c r="K13" s="20">
        <v>12</v>
      </c>
      <c r="L13" s="20">
        <v>12.5</v>
      </c>
      <c r="M13" s="20">
        <v>22</v>
      </c>
      <c r="N13" t="s">
        <v>71</v>
      </c>
      <c r="O13" t="s">
        <v>182</v>
      </c>
      <c r="P13" s="22">
        <v>35</v>
      </c>
      <c r="Q13" t="s">
        <v>58</v>
      </c>
      <c r="R13" t="s">
        <v>81</v>
      </c>
      <c r="S13" s="56" t="s">
        <v>81</v>
      </c>
      <c r="T13">
        <f t="shared" si="4"/>
        <v>7</v>
      </c>
      <c r="U13" s="5">
        <v>44126</v>
      </c>
      <c r="V13" s="7">
        <v>0.4201388888888889</v>
      </c>
      <c r="W13" s="5">
        <v>44133</v>
      </c>
      <c r="X13" s="7">
        <v>0.45347222222222222</v>
      </c>
      <c r="Y13" s="22">
        <f t="shared" si="5"/>
        <v>7</v>
      </c>
      <c r="Z13" t="s">
        <v>214</v>
      </c>
      <c r="AA13" t="s">
        <v>214</v>
      </c>
      <c r="AB13">
        <v>2</v>
      </c>
      <c r="AC13" t="s">
        <v>66</v>
      </c>
      <c r="AD13" t="s">
        <v>351</v>
      </c>
      <c r="AE13" t="s">
        <v>244</v>
      </c>
      <c r="AF13" t="s">
        <v>67</v>
      </c>
      <c r="AG13" s="20">
        <v>10.5</v>
      </c>
      <c r="AH13" s="20">
        <v>7</v>
      </c>
      <c r="AI13" s="20">
        <v>4</v>
      </c>
      <c r="AJ13" s="22">
        <v>65</v>
      </c>
      <c r="AK13" s="22">
        <v>0</v>
      </c>
      <c r="AL13" s="22">
        <v>0</v>
      </c>
      <c r="AM13" s="74">
        <f t="shared" si="0"/>
        <v>1</v>
      </c>
      <c r="AN13" s="22" t="s">
        <v>246</v>
      </c>
      <c r="AO13" s="58">
        <v>2</v>
      </c>
      <c r="AP13" t="s">
        <v>234</v>
      </c>
      <c r="AQ13" t="s">
        <v>667</v>
      </c>
      <c r="AR13" t="s">
        <v>66</v>
      </c>
      <c r="AT13" t="s">
        <v>46</v>
      </c>
      <c r="AV13" t="s">
        <v>335</v>
      </c>
      <c r="AW13" t="s">
        <v>182</v>
      </c>
      <c r="AX13" t="s">
        <v>182</v>
      </c>
      <c r="AY13" t="s">
        <v>182</v>
      </c>
      <c r="AZ13" s="28"/>
      <c r="BA13" s="28"/>
      <c r="BB13" t="s">
        <v>83</v>
      </c>
    </row>
    <row r="14" spans="1:54" x14ac:dyDescent="0.6">
      <c r="A14" s="14" t="str">
        <f t="shared" si="1"/>
        <v>N</v>
      </c>
      <c r="B14" s="14" t="str">
        <f t="shared" si="2"/>
        <v>Y</v>
      </c>
      <c r="C14" t="s">
        <v>141</v>
      </c>
      <c r="D14" t="s">
        <v>63</v>
      </c>
      <c r="E14" t="s">
        <v>63</v>
      </c>
      <c r="F14" t="str">
        <f t="shared" si="3"/>
        <v>N_N</v>
      </c>
      <c r="G14" s="22">
        <v>8</v>
      </c>
      <c r="H14" s="11" t="s">
        <v>51</v>
      </c>
      <c r="I14" s="5">
        <v>44117</v>
      </c>
      <c r="J14" s="7">
        <v>0.60416666666666663</v>
      </c>
      <c r="K14" s="20">
        <v>10.5</v>
      </c>
      <c r="L14" s="20">
        <v>11</v>
      </c>
      <c r="M14" s="20">
        <v>16</v>
      </c>
      <c r="N14" t="s">
        <v>77</v>
      </c>
      <c r="O14" t="s">
        <v>182</v>
      </c>
      <c r="P14" s="22">
        <v>28</v>
      </c>
      <c r="Q14" t="s">
        <v>22</v>
      </c>
      <c r="R14" t="s">
        <v>72</v>
      </c>
      <c r="S14" t="s">
        <v>63</v>
      </c>
      <c r="T14">
        <f t="shared" si="4"/>
        <v>9</v>
      </c>
      <c r="U14" s="5">
        <v>44126</v>
      </c>
      <c r="V14" s="7">
        <v>0.4284722222222222</v>
      </c>
      <c r="W14" s="5">
        <v>44133</v>
      </c>
      <c r="X14" s="7">
        <v>0.46111111111111108</v>
      </c>
      <c r="Y14" s="22">
        <f t="shared" si="5"/>
        <v>7</v>
      </c>
      <c r="Z14" t="s">
        <v>214</v>
      </c>
      <c r="AA14" t="s">
        <v>214</v>
      </c>
      <c r="AB14">
        <v>1</v>
      </c>
      <c r="AC14" t="s">
        <v>46</v>
      </c>
      <c r="AD14" t="s">
        <v>352</v>
      </c>
      <c r="AE14" t="s">
        <v>242</v>
      </c>
      <c r="AF14" t="s">
        <v>47</v>
      </c>
      <c r="AG14" s="20">
        <v>6.5</v>
      </c>
      <c r="AH14" s="20">
        <v>5</v>
      </c>
      <c r="AI14" s="20">
        <v>7</v>
      </c>
      <c r="AJ14" s="22">
        <v>60</v>
      </c>
      <c r="AK14" s="22">
        <v>0</v>
      </c>
      <c r="AL14" s="22">
        <v>60</v>
      </c>
      <c r="AM14" s="74">
        <f t="shared" si="0"/>
        <v>0</v>
      </c>
      <c r="AN14" s="22" t="s">
        <v>245</v>
      </c>
      <c r="AO14" s="58">
        <v>0</v>
      </c>
      <c r="AP14" t="s">
        <v>233</v>
      </c>
      <c r="AQ14" t="s">
        <v>667</v>
      </c>
      <c r="AR14" t="s">
        <v>66</v>
      </c>
      <c r="AT14" t="s">
        <v>46</v>
      </c>
      <c r="AV14" t="s">
        <v>335</v>
      </c>
      <c r="AW14" t="s">
        <v>182</v>
      </c>
      <c r="AX14" t="s">
        <v>182</v>
      </c>
      <c r="AY14" t="s">
        <v>182</v>
      </c>
      <c r="AZ14" s="28"/>
      <c r="BA14" s="28"/>
      <c r="BB14" t="s">
        <v>84</v>
      </c>
    </row>
    <row r="15" spans="1:54" x14ac:dyDescent="0.6">
      <c r="A15" s="14" t="str">
        <f t="shared" si="1"/>
        <v>N</v>
      </c>
      <c r="B15" s="14" t="str">
        <f t="shared" si="2"/>
        <v>Y</v>
      </c>
      <c r="C15" t="s">
        <v>141</v>
      </c>
      <c r="D15" t="s">
        <v>63</v>
      </c>
      <c r="E15" t="s">
        <v>63</v>
      </c>
      <c r="F15" t="str">
        <f t="shared" si="3"/>
        <v>N_N</v>
      </c>
      <c r="G15" s="22">
        <v>8</v>
      </c>
      <c r="H15" t="s">
        <v>51</v>
      </c>
      <c r="I15" s="5">
        <v>44117</v>
      </c>
      <c r="J15" s="7">
        <v>0.60416666666666663</v>
      </c>
      <c r="K15" s="20">
        <v>10.5</v>
      </c>
      <c r="L15" s="20">
        <v>11</v>
      </c>
      <c r="M15" s="20">
        <v>16</v>
      </c>
      <c r="N15" t="s">
        <v>77</v>
      </c>
      <c r="O15" t="s">
        <v>182</v>
      </c>
      <c r="P15" s="22">
        <v>28</v>
      </c>
      <c r="Q15" t="s">
        <v>22</v>
      </c>
      <c r="R15" t="s">
        <v>72</v>
      </c>
      <c r="S15" t="s">
        <v>63</v>
      </c>
      <c r="T15">
        <f t="shared" si="4"/>
        <v>9</v>
      </c>
      <c r="U15" s="5">
        <v>44126</v>
      </c>
      <c r="V15" s="7">
        <v>0.4284722222222222</v>
      </c>
      <c r="W15" s="5">
        <v>44133</v>
      </c>
      <c r="X15" s="7">
        <v>0.46111111111111108</v>
      </c>
      <c r="Y15" s="22">
        <f t="shared" si="5"/>
        <v>7</v>
      </c>
      <c r="Z15" t="s">
        <v>214</v>
      </c>
      <c r="AA15" t="s">
        <v>214</v>
      </c>
      <c r="AB15">
        <v>2</v>
      </c>
      <c r="AC15" t="s">
        <v>66</v>
      </c>
      <c r="AD15" t="s">
        <v>351</v>
      </c>
      <c r="AE15" t="s">
        <v>244</v>
      </c>
      <c r="AF15" t="s">
        <v>67</v>
      </c>
      <c r="AG15" s="20">
        <v>8</v>
      </c>
      <c r="AH15" s="20">
        <v>7</v>
      </c>
      <c r="AI15" s="20">
        <v>4</v>
      </c>
      <c r="AJ15" s="22">
        <v>50</v>
      </c>
      <c r="AK15" s="22">
        <v>0</v>
      </c>
      <c r="AL15" s="22">
        <v>0</v>
      </c>
      <c r="AM15" s="74">
        <f t="shared" si="0"/>
        <v>1</v>
      </c>
      <c r="AN15" s="22" t="s">
        <v>246</v>
      </c>
      <c r="AO15" s="58">
        <v>2</v>
      </c>
      <c r="AP15" t="s">
        <v>234</v>
      </c>
      <c r="AQ15" t="s">
        <v>667</v>
      </c>
      <c r="AR15" t="s">
        <v>66</v>
      </c>
      <c r="AT15" t="s">
        <v>46</v>
      </c>
      <c r="AV15" t="s">
        <v>335</v>
      </c>
      <c r="AW15" t="s">
        <v>182</v>
      </c>
      <c r="AX15" t="s">
        <v>182</v>
      </c>
      <c r="AY15" t="s">
        <v>182</v>
      </c>
      <c r="AZ15" s="28"/>
      <c r="BA15" s="28"/>
      <c r="BB15" t="s">
        <v>84</v>
      </c>
    </row>
    <row r="16" spans="1:54" x14ac:dyDescent="0.6">
      <c r="A16" s="14" t="str">
        <f t="shared" si="1"/>
        <v>N</v>
      </c>
      <c r="B16" s="14" t="str">
        <f t="shared" si="2"/>
        <v>Y</v>
      </c>
      <c r="C16" t="s">
        <v>141</v>
      </c>
      <c r="D16" t="s">
        <v>63</v>
      </c>
      <c r="E16" t="s">
        <v>63</v>
      </c>
      <c r="F16" t="str">
        <f t="shared" si="3"/>
        <v>N_N</v>
      </c>
      <c r="G16" s="22">
        <v>9</v>
      </c>
      <c r="H16" t="s">
        <v>52</v>
      </c>
      <c r="I16" s="5">
        <v>44117</v>
      </c>
      <c r="J16" s="7">
        <v>0.60416666666666663</v>
      </c>
      <c r="K16" s="20">
        <v>10.5</v>
      </c>
      <c r="L16" s="20">
        <v>12</v>
      </c>
      <c r="M16" s="20">
        <v>20</v>
      </c>
      <c r="N16" t="s">
        <v>71</v>
      </c>
      <c r="O16" t="s">
        <v>182</v>
      </c>
      <c r="P16" s="22">
        <v>50</v>
      </c>
      <c r="Q16" t="s">
        <v>79</v>
      </c>
      <c r="R16" t="s">
        <v>180</v>
      </c>
      <c r="S16" s="56" t="s">
        <v>180</v>
      </c>
      <c r="T16">
        <f t="shared" si="4"/>
        <v>9</v>
      </c>
      <c r="U16" s="5">
        <v>44126</v>
      </c>
      <c r="V16" s="7">
        <v>0.43194444444444446</v>
      </c>
      <c r="W16" s="5">
        <v>44133</v>
      </c>
      <c r="X16" s="7">
        <v>0.44027777777777777</v>
      </c>
      <c r="Y16" s="22">
        <f t="shared" si="5"/>
        <v>7</v>
      </c>
      <c r="Z16" t="s">
        <v>214</v>
      </c>
      <c r="AA16" t="s">
        <v>214</v>
      </c>
      <c r="AB16">
        <v>1</v>
      </c>
      <c r="AC16" t="s">
        <v>46</v>
      </c>
      <c r="AD16" t="s">
        <v>352</v>
      </c>
      <c r="AE16" t="s">
        <v>244</v>
      </c>
      <c r="AF16" t="s">
        <v>47</v>
      </c>
      <c r="AG16" s="20">
        <v>7</v>
      </c>
      <c r="AH16" s="20">
        <v>5.5</v>
      </c>
      <c r="AI16" s="20">
        <v>2</v>
      </c>
      <c r="AJ16" s="22">
        <v>90</v>
      </c>
      <c r="AK16" s="22">
        <v>0</v>
      </c>
      <c r="AL16" s="22">
        <v>90</v>
      </c>
      <c r="AM16" s="74">
        <f t="shared" si="0"/>
        <v>0</v>
      </c>
      <c r="AN16" s="22" t="s">
        <v>245</v>
      </c>
      <c r="AO16" s="58">
        <v>0</v>
      </c>
      <c r="AP16" t="s">
        <v>233</v>
      </c>
      <c r="AQ16" t="s">
        <v>667</v>
      </c>
      <c r="AR16" t="s">
        <v>66</v>
      </c>
      <c r="AT16" t="s">
        <v>46</v>
      </c>
      <c r="AV16" t="s">
        <v>335</v>
      </c>
      <c r="AW16" t="s">
        <v>182</v>
      </c>
      <c r="AX16" t="s">
        <v>182</v>
      </c>
      <c r="AY16" t="s">
        <v>182</v>
      </c>
      <c r="AZ16" s="28"/>
      <c r="BA16" s="28"/>
      <c r="BB16" t="s">
        <v>83</v>
      </c>
    </row>
    <row r="17" spans="1:54" x14ac:dyDescent="0.6">
      <c r="A17" s="14" t="str">
        <f t="shared" si="1"/>
        <v>N</v>
      </c>
      <c r="B17" s="14" t="str">
        <f t="shared" si="2"/>
        <v>Y</v>
      </c>
      <c r="C17" t="s">
        <v>141</v>
      </c>
      <c r="D17" t="s">
        <v>63</v>
      </c>
      <c r="E17" t="s">
        <v>63</v>
      </c>
      <c r="F17" t="str">
        <f t="shared" si="3"/>
        <v>N_N</v>
      </c>
      <c r="G17" s="22">
        <v>9</v>
      </c>
      <c r="H17" t="s">
        <v>52</v>
      </c>
      <c r="I17" s="5">
        <v>44117</v>
      </c>
      <c r="J17" s="7">
        <v>0.60416666666666663</v>
      </c>
      <c r="K17" s="20">
        <v>10.5</v>
      </c>
      <c r="L17" s="20">
        <v>12</v>
      </c>
      <c r="M17" s="20">
        <v>20</v>
      </c>
      <c r="N17" t="s">
        <v>71</v>
      </c>
      <c r="O17" t="s">
        <v>182</v>
      </c>
      <c r="P17" s="22">
        <v>50</v>
      </c>
      <c r="Q17" t="s">
        <v>79</v>
      </c>
      <c r="R17" t="s">
        <v>180</v>
      </c>
      <c r="S17" s="56" t="s">
        <v>180</v>
      </c>
      <c r="T17">
        <f t="shared" si="4"/>
        <v>9</v>
      </c>
      <c r="U17" s="5">
        <v>44126</v>
      </c>
      <c r="V17" s="7">
        <v>0.43194444444444446</v>
      </c>
      <c r="W17" s="5">
        <v>44133</v>
      </c>
      <c r="X17" s="7">
        <v>0.44027777777777777</v>
      </c>
      <c r="Y17" s="22">
        <f t="shared" si="5"/>
        <v>7</v>
      </c>
      <c r="Z17" t="s">
        <v>214</v>
      </c>
      <c r="AA17" t="s">
        <v>214</v>
      </c>
      <c r="AB17">
        <v>2</v>
      </c>
      <c r="AC17" t="s">
        <v>66</v>
      </c>
      <c r="AD17" t="s">
        <v>351</v>
      </c>
      <c r="AE17" t="s">
        <v>242</v>
      </c>
      <c r="AF17" t="s">
        <v>67</v>
      </c>
      <c r="AG17" s="20">
        <v>7.5</v>
      </c>
      <c r="AH17" s="20">
        <v>4</v>
      </c>
      <c r="AI17" s="20">
        <v>7</v>
      </c>
      <c r="AJ17" s="22">
        <v>95</v>
      </c>
      <c r="AK17" s="22">
        <v>0</v>
      </c>
      <c r="AL17" s="22">
        <v>0</v>
      </c>
      <c r="AM17" s="74">
        <f t="shared" si="0"/>
        <v>1</v>
      </c>
      <c r="AN17" s="22" t="s">
        <v>246</v>
      </c>
      <c r="AO17" s="58">
        <v>2</v>
      </c>
      <c r="AP17" t="s">
        <v>234</v>
      </c>
      <c r="AQ17" t="s">
        <v>667</v>
      </c>
      <c r="AR17" t="s">
        <v>66</v>
      </c>
      <c r="AT17" t="s">
        <v>46</v>
      </c>
      <c r="AV17" t="s">
        <v>335</v>
      </c>
      <c r="AW17" t="s">
        <v>182</v>
      </c>
      <c r="AX17" t="s">
        <v>182</v>
      </c>
      <c r="AY17" t="s">
        <v>182</v>
      </c>
      <c r="AZ17" s="28"/>
      <c r="BA17" s="28"/>
      <c r="BB17" t="s">
        <v>83</v>
      </c>
    </row>
    <row r="18" spans="1:54" x14ac:dyDescent="0.6">
      <c r="A18" s="14" t="str">
        <f t="shared" si="1"/>
        <v>N</v>
      </c>
      <c r="B18" s="14" t="str">
        <f t="shared" si="2"/>
        <v>Y</v>
      </c>
      <c r="C18" t="s">
        <v>141</v>
      </c>
      <c r="D18" t="s">
        <v>63</v>
      </c>
      <c r="E18" t="s">
        <v>63</v>
      </c>
      <c r="F18" t="str">
        <f t="shared" si="3"/>
        <v>N_N</v>
      </c>
      <c r="G18" s="22">
        <v>10</v>
      </c>
      <c r="H18" t="s">
        <v>53</v>
      </c>
      <c r="I18" s="5">
        <v>44117</v>
      </c>
      <c r="J18" s="7">
        <v>0.60416666666666663</v>
      </c>
      <c r="K18" s="20">
        <v>11</v>
      </c>
      <c r="L18" s="20">
        <v>11</v>
      </c>
      <c r="M18" s="20">
        <v>17.5</v>
      </c>
      <c r="N18" t="s">
        <v>71</v>
      </c>
      <c r="O18" t="s">
        <v>182</v>
      </c>
      <c r="P18" s="22">
        <v>50</v>
      </c>
      <c r="Q18" t="s">
        <v>22</v>
      </c>
      <c r="R18" t="s">
        <v>78</v>
      </c>
      <c r="S18" s="56" t="s">
        <v>78</v>
      </c>
      <c r="T18">
        <f t="shared" si="4"/>
        <v>9</v>
      </c>
      <c r="U18" s="5">
        <v>44126</v>
      </c>
      <c r="V18" s="7">
        <v>0.43472222222222223</v>
      </c>
      <c r="W18" s="5">
        <v>44133</v>
      </c>
      <c r="X18" s="7">
        <v>0.46597222222222223</v>
      </c>
      <c r="Y18" s="22">
        <f t="shared" si="5"/>
        <v>7</v>
      </c>
      <c r="Z18" t="s">
        <v>214</v>
      </c>
      <c r="AA18" t="s">
        <v>214</v>
      </c>
      <c r="AB18">
        <v>1</v>
      </c>
      <c r="AC18" t="s">
        <v>46</v>
      </c>
      <c r="AD18" t="s">
        <v>352</v>
      </c>
      <c r="AE18" t="s">
        <v>242</v>
      </c>
      <c r="AF18" t="s">
        <v>47</v>
      </c>
      <c r="AG18" s="20">
        <v>6</v>
      </c>
      <c r="AH18" s="20">
        <v>4</v>
      </c>
      <c r="AI18" s="20">
        <v>4.5</v>
      </c>
      <c r="AJ18" s="22">
        <v>100</v>
      </c>
      <c r="AK18" s="22">
        <v>0</v>
      </c>
      <c r="AL18" s="22">
        <v>100</v>
      </c>
      <c r="AM18" s="74">
        <f t="shared" si="0"/>
        <v>0</v>
      </c>
      <c r="AN18" s="22" t="s">
        <v>245</v>
      </c>
      <c r="AO18" s="58">
        <v>0</v>
      </c>
      <c r="AP18" t="s">
        <v>233</v>
      </c>
      <c r="AQ18" t="s">
        <v>667</v>
      </c>
      <c r="AR18" t="s">
        <v>66</v>
      </c>
      <c r="AT18" t="s">
        <v>46</v>
      </c>
      <c r="AV18" t="s">
        <v>335</v>
      </c>
      <c r="AW18" t="s">
        <v>182</v>
      </c>
      <c r="AX18" t="s">
        <v>182</v>
      </c>
      <c r="AY18" t="s">
        <v>182</v>
      </c>
      <c r="AZ18" s="28"/>
      <c r="BA18" s="28"/>
      <c r="BB18" t="s">
        <v>85</v>
      </c>
    </row>
    <row r="19" spans="1:54" x14ac:dyDescent="0.6">
      <c r="A19" s="14" t="str">
        <f t="shared" si="1"/>
        <v>N</v>
      </c>
      <c r="B19" s="14" t="str">
        <f t="shared" si="2"/>
        <v>Y</v>
      </c>
      <c r="C19" t="s">
        <v>141</v>
      </c>
      <c r="D19" t="s">
        <v>63</v>
      </c>
      <c r="E19" t="s">
        <v>63</v>
      </c>
      <c r="F19" t="str">
        <f t="shared" si="3"/>
        <v>N_N</v>
      </c>
      <c r="G19" s="22">
        <v>10</v>
      </c>
      <c r="H19" t="s">
        <v>53</v>
      </c>
      <c r="I19" s="5">
        <v>44117</v>
      </c>
      <c r="J19" s="7">
        <v>0.60416666666666663</v>
      </c>
      <c r="K19" s="20">
        <v>11</v>
      </c>
      <c r="L19" s="20">
        <v>11</v>
      </c>
      <c r="M19" s="20">
        <v>17.5</v>
      </c>
      <c r="N19" t="s">
        <v>71</v>
      </c>
      <c r="O19" t="s">
        <v>182</v>
      </c>
      <c r="P19" s="22">
        <v>50</v>
      </c>
      <c r="Q19" t="s">
        <v>22</v>
      </c>
      <c r="R19" t="s">
        <v>78</v>
      </c>
      <c r="S19" s="56" t="s">
        <v>78</v>
      </c>
      <c r="T19">
        <f t="shared" si="4"/>
        <v>9</v>
      </c>
      <c r="U19" s="5">
        <v>44126</v>
      </c>
      <c r="V19" s="7">
        <v>0.43472222222222223</v>
      </c>
      <c r="W19" s="5">
        <v>44133</v>
      </c>
      <c r="X19" s="7">
        <v>0.46597222222222223</v>
      </c>
      <c r="Y19" s="22">
        <f t="shared" si="5"/>
        <v>7</v>
      </c>
      <c r="Z19" t="s">
        <v>214</v>
      </c>
      <c r="AA19" t="s">
        <v>214</v>
      </c>
      <c r="AB19">
        <v>2</v>
      </c>
      <c r="AC19" t="s">
        <v>66</v>
      </c>
      <c r="AD19" t="s">
        <v>351</v>
      </c>
      <c r="AE19" t="s">
        <v>244</v>
      </c>
      <c r="AF19" t="s">
        <v>67</v>
      </c>
      <c r="AG19" s="20">
        <v>6</v>
      </c>
      <c r="AH19" s="20">
        <v>3.8</v>
      </c>
      <c r="AI19" s="20">
        <v>7.5</v>
      </c>
      <c r="AJ19" s="22">
        <v>70</v>
      </c>
      <c r="AK19" s="22">
        <v>0</v>
      </c>
      <c r="AL19" s="22">
        <v>0</v>
      </c>
      <c r="AM19" s="74">
        <f t="shared" si="0"/>
        <v>1</v>
      </c>
      <c r="AN19" s="22" t="s">
        <v>246</v>
      </c>
      <c r="AO19" s="58">
        <v>2</v>
      </c>
      <c r="AP19" t="s">
        <v>234</v>
      </c>
      <c r="AQ19" t="s">
        <v>667</v>
      </c>
      <c r="AR19" t="s">
        <v>66</v>
      </c>
      <c r="AT19" t="s">
        <v>46</v>
      </c>
      <c r="AV19" t="s">
        <v>335</v>
      </c>
      <c r="AW19" t="s">
        <v>182</v>
      </c>
      <c r="AX19" t="s">
        <v>182</v>
      </c>
      <c r="AY19" t="s">
        <v>182</v>
      </c>
      <c r="AZ19" s="28"/>
      <c r="BA19" s="28"/>
      <c r="BB19" t="s">
        <v>85</v>
      </c>
    </row>
    <row r="20" spans="1:54" x14ac:dyDescent="0.6">
      <c r="A20" s="14" t="str">
        <f t="shared" si="1"/>
        <v>Y</v>
      </c>
      <c r="B20" s="14" t="str">
        <f t="shared" si="2"/>
        <v>Y</v>
      </c>
      <c r="C20" t="s">
        <v>141</v>
      </c>
      <c r="D20" t="s">
        <v>63</v>
      </c>
      <c r="E20" t="s">
        <v>63</v>
      </c>
      <c r="F20" t="str">
        <f t="shared" si="3"/>
        <v>N_N</v>
      </c>
      <c r="G20" s="22">
        <v>11</v>
      </c>
      <c r="H20" t="s">
        <v>49</v>
      </c>
      <c r="I20" s="5">
        <v>44131</v>
      </c>
      <c r="J20" s="7">
        <v>0.48819444444444443</v>
      </c>
      <c r="K20" s="20">
        <v>9</v>
      </c>
      <c r="L20" s="20">
        <v>9</v>
      </c>
      <c r="M20" s="20">
        <v>14</v>
      </c>
      <c r="N20" t="s">
        <v>88</v>
      </c>
      <c r="O20" t="s">
        <v>183</v>
      </c>
      <c r="P20" s="22">
        <v>27</v>
      </c>
      <c r="Q20" t="s">
        <v>22</v>
      </c>
      <c r="R20" t="s">
        <v>92</v>
      </c>
      <c r="S20" t="s">
        <v>63</v>
      </c>
      <c r="T20">
        <f t="shared" si="4"/>
        <v>7</v>
      </c>
      <c r="U20" s="5">
        <v>44138</v>
      </c>
      <c r="V20" s="7">
        <v>0.4513888888888889</v>
      </c>
      <c r="W20" s="5">
        <v>44145</v>
      </c>
      <c r="X20" s="7">
        <v>0.45277777777777778</v>
      </c>
      <c r="Y20" s="22">
        <f t="shared" si="5"/>
        <v>7</v>
      </c>
      <c r="Z20" t="s">
        <v>214</v>
      </c>
      <c r="AA20" t="s">
        <v>214</v>
      </c>
      <c r="AB20">
        <v>1</v>
      </c>
      <c r="AC20" t="s">
        <v>46</v>
      </c>
      <c r="AD20" t="s">
        <v>352</v>
      </c>
      <c r="AE20" t="s">
        <v>242</v>
      </c>
      <c r="AF20" t="s">
        <v>47</v>
      </c>
      <c r="AG20" s="20">
        <v>11.5</v>
      </c>
      <c r="AH20" s="20">
        <v>9</v>
      </c>
      <c r="AI20" s="20">
        <v>12</v>
      </c>
      <c r="AJ20" s="22">
        <v>85</v>
      </c>
      <c r="AK20" s="22">
        <v>0</v>
      </c>
      <c r="AL20" s="22">
        <v>85</v>
      </c>
      <c r="AM20" s="74">
        <f t="shared" si="0"/>
        <v>0</v>
      </c>
      <c r="AN20" s="22" t="s">
        <v>245</v>
      </c>
      <c r="AO20" s="58">
        <v>0</v>
      </c>
      <c r="AP20" t="s">
        <v>233</v>
      </c>
      <c r="AQ20" t="s">
        <v>667</v>
      </c>
      <c r="AR20" t="s">
        <v>66</v>
      </c>
      <c r="AT20" t="s">
        <v>46</v>
      </c>
      <c r="AV20" t="s">
        <v>335</v>
      </c>
      <c r="AW20" t="s">
        <v>182</v>
      </c>
      <c r="AX20" t="s">
        <v>182</v>
      </c>
      <c r="AY20" t="s">
        <v>182</v>
      </c>
      <c r="AZ20" s="28"/>
      <c r="BA20" s="28"/>
      <c r="BB20" t="s">
        <v>100</v>
      </c>
    </row>
    <row r="21" spans="1:54" ht="17.05" customHeight="1" x14ac:dyDescent="0.6">
      <c r="A21" s="14" t="str">
        <f t="shared" si="1"/>
        <v>Y</v>
      </c>
      <c r="B21" s="14" t="str">
        <f t="shared" si="2"/>
        <v>Y</v>
      </c>
      <c r="C21" t="s">
        <v>141</v>
      </c>
      <c r="D21" t="s">
        <v>63</v>
      </c>
      <c r="E21" t="s">
        <v>63</v>
      </c>
      <c r="F21" t="str">
        <f t="shared" si="3"/>
        <v>N_N</v>
      </c>
      <c r="G21" s="22">
        <v>11</v>
      </c>
      <c r="H21" t="s">
        <v>49</v>
      </c>
      <c r="I21" s="5">
        <v>44131</v>
      </c>
      <c r="J21" s="7">
        <v>0.48819444444444443</v>
      </c>
      <c r="K21" s="20">
        <v>9</v>
      </c>
      <c r="L21" s="20">
        <v>9</v>
      </c>
      <c r="M21" s="20">
        <v>14</v>
      </c>
      <c r="N21" t="s">
        <v>88</v>
      </c>
      <c r="O21" t="s">
        <v>183</v>
      </c>
      <c r="P21" s="22">
        <v>27</v>
      </c>
      <c r="Q21" t="s">
        <v>22</v>
      </c>
      <c r="R21" t="s">
        <v>92</v>
      </c>
      <c r="S21" t="s">
        <v>63</v>
      </c>
      <c r="T21">
        <f t="shared" si="4"/>
        <v>7</v>
      </c>
      <c r="U21" s="5">
        <v>44138</v>
      </c>
      <c r="V21" s="7">
        <v>0.4513888888888889</v>
      </c>
      <c r="W21" s="5">
        <v>44145</v>
      </c>
      <c r="X21" s="7">
        <v>0.45277777777777778</v>
      </c>
      <c r="Y21" s="22">
        <f t="shared" si="5"/>
        <v>7</v>
      </c>
      <c r="Z21" t="s">
        <v>214</v>
      </c>
      <c r="AA21" t="s">
        <v>214</v>
      </c>
      <c r="AB21">
        <v>2</v>
      </c>
      <c r="AC21" t="s">
        <v>66</v>
      </c>
      <c r="AD21" t="s">
        <v>351</v>
      </c>
      <c r="AE21" t="s">
        <v>244</v>
      </c>
      <c r="AF21" t="s">
        <v>67</v>
      </c>
      <c r="AG21" s="20">
        <v>12</v>
      </c>
      <c r="AH21" s="20">
        <v>7</v>
      </c>
      <c r="AI21" s="20">
        <v>10</v>
      </c>
      <c r="AJ21" s="22">
        <v>90</v>
      </c>
      <c r="AK21" s="22">
        <v>0</v>
      </c>
      <c r="AL21" s="22">
        <v>5</v>
      </c>
      <c r="AM21" s="74">
        <f t="shared" si="0"/>
        <v>0.94444444444444442</v>
      </c>
      <c r="AN21" s="22" t="s">
        <v>246</v>
      </c>
      <c r="AO21" s="58">
        <v>2</v>
      </c>
      <c r="AP21" t="s">
        <v>234</v>
      </c>
      <c r="AQ21" t="s">
        <v>667</v>
      </c>
      <c r="AR21" t="s">
        <v>66</v>
      </c>
      <c r="AT21" t="s">
        <v>46</v>
      </c>
      <c r="AV21" t="s">
        <v>335</v>
      </c>
      <c r="AW21" t="s">
        <v>182</v>
      </c>
      <c r="AX21" t="s">
        <v>182</v>
      </c>
      <c r="AY21" t="s">
        <v>182</v>
      </c>
      <c r="AZ21" s="28"/>
      <c r="BA21" s="28"/>
      <c r="BB21" t="s">
        <v>100</v>
      </c>
    </row>
    <row r="22" spans="1:54" x14ac:dyDescent="0.6">
      <c r="A22" s="14" t="str">
        <f t="shared" si="1"/>
        <v>Y</v>
      </c>
      <c r="B22" s="14" t="str">
        <f t="shared" si="2"/>
        <v>Y</v>
      </c>
      <c r="C22" t="s">
        <v>141</v>
      </c>
      <c r="D22" t="s">
        <v>63</v>
      </c>
      <c r="E22" t="s">
        <v>63</v>
      </c>
      <c r="F22" t="str">
        <f t="shared" si="3"/>
        <v>N_N</v>
      </c>
      <c r="G22" s="22">
        <v>12</v>
      </c>
      <c r="H22" t="s">
        <v>50</v>
      </c>
      <c r="I22" s="5">
        <v>44131</v>
      </c>
      <c r="J22" s="7">
        <v>0.48888888888888887</v>
      </c>
      <c r="K22" s="20">
        <v>11</v>
      </c>
      <c r="L22" s="20">
        <v>11.5</v>
      </c>
      <c r="M22" s="20">
        <v>17</v>
      </c>
      <c r="N22" t="s">
        <v>89</v>
      </c>
      <c r="O22" t="s">
        <v>184</v>
      </c>
      <c r="P22" s="22">
        <v>32</v>
      </c>
      <c r="Q22" t="s">
        <v>90</v>
      </c>
      <c r="R22" t="s">
        <v>93</v>
      </c>
      <c r="S22" s="56" t="s">
        <v>93</v>
      </c>
      <c r="T22">
        <f t="shared" si="4"/>
        <v>7</v>
      </c>
      <c r="U22" s="5">
        <v>44138</v>
      </c>
      <c r="V22" s="7">
        <v>0.4548611111111111</v>
      </c>
      <c r="W22" s="5">
        <v>44145</v>
      </c>
      <c r="X22" s="7">
        <v>0.45694444444444443</v>
      </c>
      <c r="Y22" s="22">
        <f t="shared" si="5"/>
        <v>7</v>
      </c>
      <c r="Z22" t="s">
        <v>215</v>
      </c>
      <c r="AA22" t="s">
        <v>215</v>
      </c>
      <c r="AB22">
        <v>1</v>
      </c>
      <c r="AC22" t="s">
        <v>98</v>
      </c>
      <c r="AD22" t="s">
        <v>98</v>
      </c>
      <c r="AE22" t="s">
        <v>244</v>
      </c>
      <c r="AF22" t="s">
        <v>97</v>
      </c>
      <c r="AG22" s="20">
        <v>12</v>
      </c>
      <c r="AH22" s="20">
        <v>8</v>
      </c>
      <c r="AI22" s="20">
        <v>2</v>
      </c>
      <c r="AJ22" s="22">
        <v>100</v>
      </c>
      <c r="AK22" s="22">
        <v>0</v>
      </c>
      <c r="AL22" s="22">
        <v>100</v>
      </c>
      <c r="AM22" s="74">
        <f t="shared" si="0"/>
        <v>0</v>
      </c>
      <c r="AN22" s="22" t="s">
        <v>245</v>
      </c>
      <c r="AO22" s="58">
        <v>0</v>
      </c>
      <c r="AP22" t="s">
        <v>233</v>
      </c>
      <c r="AQ22" t="s">
        <v>667</v>
      </c>
      <c r="AR22" t="s">
        <v>66</v>
      </c>
      <c r="AT22" t="s">
        <v>98</v>
      </c>
      <c r="AV22" t="s">
        <v>335</v>
      </c>
      <c r="AW22" t="s">
        <v>182</v>
      </c>
      <c r="AX22" t="s">
        <v>182</v>
      </c>
      <c r="AY22" t="s">
        <v>182</v>
      </c>
      <c r="AZ22" s="28"/>
      <c r="BA22" s="28"/>
      <c r="BB22" t="s">
        <v>101</v>
      </c>
    </row>
    <row r="23" spans="1:54" x14ac:dyDescent="0.6">
      <c r="A23" s="14" t="str">
        <f t="shared" si="1"/>
        <v>Y</v>
      </c>
      <c r="B23" s="14" t="str">
        <f t="shared" si="2"/>
        <v>Y</v>
      </c>
      <c r="C23" t="s">
        <v>141</v>
      </c>
      <c r="D23" t="s">
        <v>63</v>
      </c>
      <c r="E23" t="s">
        <v>63</v>
      </c>
      <c r="F23" t="str">
        <f t="shared" si="3"/>
        <v>N_N</v>
      </c>
      <c r="G23" s="22">
        <v>12</v>
      </c>
      <c r="H23" t="s">
        <v>50</v>
      </c>
      <c r="I23" s="5">
        <v>44131</v>
      </c>
      <c r="J23" s="7">
        <v>0.48888888888888887</v>
      </c>
      <c r="K23" s="20">
        <v>11</v>
      </c>
      <c r="L23" s="20">
        <v>11.5</v>
      </c>
      <c r="M23" s="20">
        <v>17</v>
      </c>
      <c r="N23" t="s">
        <v>89</v>
      </c>
      <c r="O23" t="s">
        <v>184</v>
      </c>
      <c r="P23" s="22">
        <v>32</v>
      </c>
      <c r="Q23" t="s">
        <v>90</v>
      </c>
      <c r="R23" t="s">
        <v>93</v>
      </c>
      <c r="S23" s="56" t="s">
        <v>93</v>
      </c>
      <c r="T23">
        <f t="shared" si="4"/>
        <v>7</v>
      </c>
      <c r="U23" s="5">
        <v>44138</v>
      </c>
      <c r="V23" s="7">
        <v>0.4548611111111111</v>
      </c>
      <c r="W23" s="5">
        <v>44145</v>
      </c>
      <c r="X23" s="7">
        <v>0.45694444444444443</v>
      </c>
      <c r="Y23" s="22">
        <f t="shared" si="5"/>
        <v>7</v>
      </c>
      <c r="Z23" t="s">
        <v>215</v>
      </c>
      <c r="AA23" t="s">
        <v>215</v>
      </c>
      <c r="AB23">
        <v>2</v>
      </c>
      <c r="AC23" t="s">
        <v>66</v>
      </c>
      <c r="AD23" t="s">
        <v>351</v>
      </c>
      <c r="AE23" t="s">
        <v>242</v>
      </c>
      <c r="AF23" t="s">
        <v>67</v>
      </c>
      <c r="AG23" s="20">
        <v>8</v>
      </c>
      <c r="AH23" s="20">
        <v>4</v>
      </c>
      <c r="AI23" s="20">
        <v>9</v>
      </c>
      <c r="AJ23" s="22">
        <v>80</v>
      </c>
      <c r="AK23" s="22">
        <v>0</v>
      </c>
      <c r="AL23" s="22">
        <v>0</v>
      </c>
      <c r="AM23" s="74">
        <f t="shared" si="0"/>
        <v>1</v>
      </c>
      <c r="AN23" s="22" t="s">
        <v>246</v>
      </c>
      <c r="AO23" s="58">
        <v>2</v>
      </c>
      <c r="AP23" t="s">
        <v>234</v>
      </c>
      <c r="AQ23" t="s">
        <v>667</v>
      </c>
      <c r="AR23" t="s">
        <v>66</v>
      </c>
      <c r="AT23" t="s">
        <v>98</v>
      </c>
      <c r="AV23" t="s">
        <v>335</v>
      </c>
      <c r="AW23" t="s">
        <v>182</v>
      </c>
      <c r="AX23" t="s">
        <v>182</v>
      </c>
      <c r="AY23" t="s">
        <v>182</v>
      </c>
      <c r="AZ23" s="28"/>
      <c r="BA23" s="28"/>
      <c r="BB23" t="s">
        <v>101</v>
      </c>
    </row>
    <row r="24" spans="1:54" x14ac:dyDescent="0.6">
      <c r="A24" s="14" t="str">
        <f t="shared" si="1"/>
        <v>Y</v>
      </c>
      <c r="B24" s="14" t="str">
        <f t="shared" si="2"/>
        <v>Y</v>
      </c>
      <c r="C24" t="s">
        <v>141</v>
      </c>
      <c r="D24" t="s">
        <v>63</v>
      </c>
      <c r="E24" t="s">
        <v>63</v>
      </c>
      <c r="F24" t="str">
        <f t="shared" si="3"/>
        <v>N_N</v>
      </c>
      <c r="G24" s="22">
        <v>13</v>
      </c>
      <c r="H24" s="11" t="s">
        <v>51</v>
      </c>
      <c r="I24" s="5">
        <v>44131</v>
      </c>
      <c r="J24" s="7">
        <v>0.48680555555555555</v>
      </c>
      <c r="K24" s="20">
        <v>10.5</v>
      </c>
      <c r="L24" s="20">
        <v>10.5</v>
      </c>
      <c r="M24" s="20">
        <v>15</v>
      </c>
      <c r="N24" t="s">
        <v>55</v>
      </c>
      <c r="O24" t="s">
        <v>185</v>
      </c>
      <c r="P24" s="22">
        <v>29</v>
      </c>
      <c r="Q24" t="s">
        <v>91</v>
      </c>
      <c r="R24" t="s">
        <v>94</v>
      </c>
      <c r="S24" t="s">
        <v>63</v>
      </c>
      <c r="T24">
        <f t="shared" si="4"/>
        <v>7</v>
      </c>
      <c r="U24" s="5">
        <v>44138</v>
      </c>
      <c r="V24" s="7">
        <v>0.45833333333333331</v>
      </c>
      <c r="W24" s="5">
        <v>44145</v>
      </c>
      <c r="X24" s="7">
        <v>0.46388888888888885</v>
      </c>
      <c r="Y24" s="22">
        <f t="shared" si="5"/>
        <v>7</v>
      </c>
      <c r="Z24" t="s">
        <v>214</v>
      </c>
      <c r="AA24" t="s">
        <v>214</v>
      </c>
      <c r="AB24">
        <v>1</v>
      </c>
      <c r="AC24" t="s">
        <v>46</v>
      </c>
      <c r="AD24" t="s">
        <v>352</v>
      </c>
      <c r="AE24" t="s">
        <v>242</v>
      </c>
      <c r="AF24" t="s">
        <v>47</v>
      </c>
      <c r="AG24" s="20">
        <v>10.5</v>
      </c>
      <c r="AH24" s="20">
        <v>4.5</v>
      </c>
      <c r="AI24" s="20">
        <v>9</v>
      </c>
      <c r="AJ24" s="22">
        <v>70</v>
      </c>
      <c r="AK24" s="22">
        <v>0</v>
      </c>
      <c r="AL24" s="22">
        <v>70</v>
      </c>
      <c r="AM24" s="74">
        <f t="shared" si="0"/>
        <v>0</v>
      </c>
      <c r="AN24" s="22" t="s">
        <v>245</v>
      </c>
      <c r="AO24" s="58">
        <v>0</v>
      </c>
      <c r="AP24" t="s">
        <v>233</v>
      </c>
      <c r="AQ24" t="s">
        <v>667</v>
      </c>
      <c r="AR24" t="s">
        <v>66</v>
      </c>
      <c r="AT24" t="s">
        <v>46</v>
      </c>
      <c r="AV24" t="s">
        <v>335</v>
      </c>
      <c r="AW24" t="s">
        <v>182</v>
      </c>
      <c r="AX24" t="s">
        <v>182</v>
      </c>
      <c r="AY24" t="s">
        <v>182</v>
      </c>
      <c r="AZ24" s="28"/>
      <c r="BA24" s="28"/>
      <c r="BB24" t="s">
        <v>104</v>
      </c>
    </row>
    <row r="25" spans="1:54" x14ac:dyDescent="0.6">
      <c r="A25" s="14" t="str">
        <f t="shared" si="1"/>
        <v>Y</v>
      </c>
      <c r="B25" s="14" t="str">
        <f t="shared" si="2"/>
        <v>Y</v>
      </c>
      <c r="C25" t="s">
        <v>141</v>
      </c>
      <c r="D25" t="s">
        <v>63</v>
      </c>
      <c r="E25" t="s">
        <v>63</v>
      </c>
      <c r="F25" t="str">
        <f t="shared" si="3"/>
        <v>N_N</v>
      </c>
      <c r="G25" s="22">
        <v>13</v>
      </c>
      <c r="H25" t="s">
        <v>51</v>
      </c>
      <c r="I25" s="5">
        <v>44131</v>
      </c>
      <c r="J25" s="7">
        <v>0.48680555555555555</v>
      </c>
      <c r="K25" s="20">
        <v>10.5</v>
      </c>
      <c r="L25" s="20">
        <v>10.5</v>
      </c>
      <c r="M25" s="20">
        <v>15</v>
      </c>
      <c r="N25" t="s">
        <v>55</v>
      </c>
      <c r="O25" t="s">
        <v>185</v>
      </c>
      <c r="P25" s="22">
        <v>29</v>
      </c>
      <c r="Q25" t="s">
        <v>91</v>
      </c>
      <c r="R25" t="s">
        <v>94</v>
      </c>
      <c r="S25" t="s">
        <v>63</v>
      </c>
      <c r="T25">
        <f t="shared" si="4"/>
        <v>7</v>
      </c>
      <c r="U25" s="5">
        <v>44138</v>
      </c>
      <c r="V25" s="7">
        <v>0.45833333333333331</v>
      </c>
      <c r="W25" s="5">
        <v>44145</v>
      </c>
      <c r="X25" s="7">
        <v>0.46388888888888885</v>
      </c>
      <c r="Y25" s="22">
        <f t="shared" si="5"/>
        <v>7</v>
      </c>
      <c r="Z25" t="s">
        <v>214</v>
      </c>
      <c r="AA25" t="s">
        <v>214</v>
      </c>
      <c r="AB25">
        <v>2</v>
      </c>
      <c r="AC25" t="s">
        <v>66</v>
      </c>
      <c r="AD25" t="s">
        <v>351</v>
      </c>
      <c r="AE25" t="s">
        <v>244</v>
      </c>
      <c r="AF25" t="s">
        <v>67</v>
      </c>
      <c r="AG25" s="20">
        <v>5</v>
      </c>
      <c r="AH25" s="20">
        <v>4.5</v>
      </c>
      <c r="AI25" s="20">
        <v>9</v>
      </c>
      <c r="AJ25" s="22">
        <v>90</v>
      </c>
      <c r="AK25" s="22">
        <v>0</v>
      </c>
      <c r="AL25" s="22">
        <v>5</v>
      </c>
      <c r="AM25" s="74">
        <f t="shared" si="0"/>
        <v>0.94444444444444442</v>
      </c>
      <c r="AN25" s="22" t="s">
        <v>246</v>
      </c>
      <c r="AO25" s="58">
        <v>2</v>
      </c>
      <c r="AP25" t="s">
        <v>234</v>
      </c>
      <c r="AQ25" t="s">
        <v>667</v>
      </c>
      <c r="AR25" t="s">
        <v>66</v>
      </c>
      <c r="AT25" t="s">
        <v>46</v>
      </c>
      <c r="AV25" t="s">
        <v>335</v>
      </c>
      <c r="AW25" t="s">
        <v>182</v>
      </c>
      <c r="AX25" t="s">
        <v>182</v>
      </c>
      <c r="AY25" t="s">
        <v>182</v>
      </c>
      <c r="AZ25" s="28"/>
      <c r="BA25" s="28"/>
      <c r="BB25" t="s">
        <v>104</v>
      </c>
    </row>
    <row r="26" spans="1:54" x14ac:dyDescent="0.6">
      <c r="A26" s="14" t="str">
        <f t="shared" si="1"/>
        <v>N</v>
      </c>
      <c r="B26" s="14" t="str">
        <f t="shared" si="2"/>
        <v>Y</v>
      </c>
      <c r="C26" t="s">
        <v>141</v>
      </c>
      <c r="D26" t="s">
        <v>63</v>
      </c>
      <c r="E26" t="s">
        <v>63</v>
      </c>
      <c r="F26" t="str">
        <f t="shared" si="3"/>
        <v>N_N</v>
      </c>
      <c r="G26" s="22">
        <v>14</v>
      </c>
      <c r="H26" t="s">
        <v>52</v>
      </c>
      <c r="I26" s="5">
        <v>44138</v>
      </c>
      <c r="J26" s="7">
        <v>0.47916666666666669</v>
      </c>
      <c r="K26" s="20">
        <v>11.5</v>
      </c>
      <c r="L26" s="20">
        <v>11.5</v>
      </c>
      <c r="M26" s="20">
        <v>17</v>
      </c>
      <c r="N26" t="s">
        <v>71</v>
      </c>
      <c r="O26" t="s">
        <v>186</v>
      </c>
      <c r="P26" s="22">
        <v>35</v>
      </c>
      <c r="Q26" t="s">
        <v>91</v>
      </c>
      <c r="R26" t="s">
        <v>95</v>
      </c>
      <c r="S26" t="s">
        <v>63</v>
      </c>
      <c r="T26">
        <f t="shared" si="4"/>
        <v>0</v>
      </c>
      <c r="U26" s="5">
        <v>44138</v>
      </c>
      <c r="V26" s="7">
        <v>0.47916666666666669</v>
      </c>
      <c r="W26" s="5">
        <v>44145</v>
      </c>
      <c r="X26" s="7">
        <v>0.46875</v>
      </c>
      <c r="Y26" s="22">
        <f t="shared" si="5"/>
        <v>7</v>
      </c>
      <c r="Z26" t="s">
        <v>214</v>
      </c>
      <c r="AA26" t="s">
        <v>214</v>
      </c>
      <c r="AB26">
        <v>1</v>
      </c>
      <c r="AC26" t="s">
        <v>46</v>
      </c>
      <c r="AD26" t="s">
        <v>352</v>
      </c>
      <c r="AE26" t="s">
        <v>242</v>
      </c>
      <c r="AF26" t="s">
        <v>47</v>
      </c>
      <c r="AG26" s="20">
        <v>6.5</v>
      </c>
      <c r="AH26" s="20">
        <v>4</v>
      </c>
      <c r="AI26" s="20">
        <v>3.5</v>
      </c>
      <c r="AJ26" s="22">
        <v>95</v>
      </c>
      <c r="AK26" s="22">
        <v>0</v>
      </c>
      <c r="AL26" s="22">
        <v>95</v>
      </c>
      <c r="AM26" s="74">
        <f t="shared" si="0"/>
        <v>0</v>
      </c>
      <c r="AN26" s="22" t="s">
        <v>245</v>
      </c>
      <c r="AO26" s="58">
        <v>0</v>
      </c>
      <c r="AP26" t="s">
        <v>233</v>
      </c>
      <c r="AQ26" t="s">
        <v>667</v>
      </c>
      <c r="AR26" t="s">
        <v>66</v>
      </c>
      <c r="AT26" t="s">
        <v>46</v>
      </c>
      <c r="AV26" t="s">
        <v>335</v>
      </c>
      <c r="AW26" t="s">
        <v>182</v>
      </c>
      <c r="AX26" t="s">
        <v>182</v>
      </c>
      <c r="AY26" t="s">
        <v>182</v>
      </c>
      <c r="AZ26" s="28"/>
      <c r="BA26" s="28"/>
      <c r="BB26" t="s">
        <v>103</v>
      </c>
    </row>
    <row r="27" spans="1:54" x14ac:dyDescent="0.6">
      <c r="A27" s="14" t="str">
        <f t="shared" si="1"/>
        <v>N</v>
      </c>
      <c r="B27" s="14" t="str">
        <f t="shared" si="2"/>
        <v>Y</v>
      </c>
      <c r="C27" t="s">
        <v>141</v>
      </c>
      <c r="D27" t="s">
        <v>63</v>
      </c>
      <c r="E27" t="s">
        <v>63</v>
      </c>
      <c r="F27" t="str">
        <f t="shared" si="3"/>
        <v>N_N</v>
      </c>
      <c r="G27" s="22">
        <v>14</v>
      </c>
      <c r="H27" t="s">
        <v>52</v>
      </c>
      <c r="I27" s="5">
        <v>44138</v>
      </c>
      <c r="J27" s="7">
        <v>0.47916666666666669</v>
      </c>
      <c r="K27" s="20">
        <v>11.5</v>
      </c>
      <c r="L27" s="20">
        <v>11.5</v>
      </c>
      <c r="M27" s="20">
        <v>17</v>
      </c>
      <c r="N27" t="s">
        <v>71</v>
      </c>
      <c r="O27" t="s">
        <v>186</v>
      </c>
      <c r="P27" s="22">
        <v>35</v>
      </c>
      <c r="Q27" t="s">
        <v>91</v>
      </c>
      <c r="R27" t="s">
        <v>95</v>
      </c>
      <c r="S27" t="s">
        <v>63</v>
      </c>
      <c r="T27">
        <f t="shared" si="4"/>
        <v>0</v>
      </c>
      <c r="U27" s="5">
        <v>44138</v>
      </c>
      <c r="V27" s="7">
        <v>0.47916666666666669</v>
      </c>
      <c r="W27" s="5">
        <v>44145</v>
      </c>
      <c r="X27" s="7">
        <v>0.46875</v>
      </c>
      <c r="Y27" s="22">
        <f t="shared" si="5"/>
        <v>7</v>
      </c>
      <c r="Z27" t="s">
        <v>214</v>
      </c>
      <c r="AA27" t="s">
        <v>214</v>
      </c>
      <c r="AB27">
        <v>2</v>
      </c>
      <c r="AC27" t="s">
        <v>66</v>
      </c>
      <c r="AD27" t="s">
        <v>351</v>
      </c>
      <c r="AE27" t="s">
        <v>244</v>
      </c>
      <c r="AF27" t="s">
        <v>67</v>
      </c>
      <c r="AG27" s="20">
        <v>6</v>
      </c>
      <c r="AH27" s="20">
        <v>5</v>
      </c>
      <c r="AI27" s="20">
        <v>6</v>
      </c>
      <c r="AJ27" s="22">
        <v>70</v>
      </c>
      <c r="AK27" s="22">
        <v>0</v>
      </c>
      <c r="AL27" s="22">
        <v>0</v>
      </c>
      <c r="AM27" s="74">
        <f t="shared" si="0"/>
        <v>1</v>
      </c>
      <c r="AN27" s="22" t="s">
        <v>246</v>
      </c>
      <c r="AO27" s="58">
        <v>2</v>
      </c>
      <c r="AP27" t="s">
        <v>234</v>
      </c>
      <c r="AQ27" t="s">
        <v>667</v>
      </c>
      <c r="AR27" t="s">
        <v>66</v>
      </c>
      <c r="AT27" t="s">
        <v>46</v>
      </c>
      <c r="AV27" t="s">
        <v>335</v>
      </c>
      <c r="AW27" t="s">
        <v>182</v>
      </c>
      <c r="AX27" t="s">
        <v>182</v>
      </c>
      <c r="AY27" t="s">
        <v>182</v>
      </c>
      <c r="AZ27" s="28"/>
      <c r="BA27" s="28"/>
      <c r="BB27" t="s">
        <v>103</v>
      </c>
    </row>
    <row r="28" spans="1:54" x14ac:dyDescent="0.6">
      <c r="A28" s="14" t="str">
        <f t="shared" si="1"/>
        <v>Y</v>
      </c>
      <c r="B28" s="14" t="str">
        <f t="shared" si="2"/>
        <v>Y</v>
      </c>
      <c r="C28" t="s">
        <v>141</v>
      </c>
      <c r="D28" t="s">
        <v>63</v>
      </c>
      <c r="E28" t="s">
        <v>63</v>
      </c>
      <c r="F28" t="str">
        <f t="shared" si="3"/>
        <v>N_N</v>
      </c>
      <c r="G28" s="22">
        <v>15</v>
      </c>
      <c r="H28" t="s">
        <v>53</v>
      </c>
      <c r="I28" s="5">
        <v>44131</v>
      </c>
      <c r="J28" s="7">
        <v>0.48680555555555555</v>
      </c>
      <c r="K28" s="20">
        <v>8.5</v>
      </c>
      <c r="L28" s="20">
        <v>9.5</v>
      </c>
      <c r="M28" s="20">
        <v>13</v>
      </c>
      <c r="N28" t="s">
        <v>88</v>
      </c>
      <c r="O28" t="s">
        <v>187</v>
      </c>
      <c r="P28" s="22">
        <v>29</v>
      </c>
      <c r="Q28" t="s">
        <v>22</v>
      </c>
      <c r="R28" t="s">
        <v>96</v>
      </c>
      <c r="S28" t="s">
        <v>63</v>
      </c>
      <c r="T28">
        <f t="shared" si="4"/>
        <v>7</v>
      </c>
      <c r="U28" s="5">
        <v>44138</v>
      </c>
      <c r="V28" s="7">
        <v>0.47569444444444442</v>
      </c>
      <c r="W28" s="5">
        <v>44145</v>
      </c>
      <c r="X28" s="7">
        <v>0.47222222222222227</v>
      </c>
      <c r="Y28" s="22">
        <f t="shared" si="5"/>
        <v>7</v>
      </c>
      <c r="Z28" t="s">
        <v>215</v>
      </c>
      <c r="AA28" t="s">
        <v>215</v>
      </c>
      <c r="AB28">
        <v>1</v>
      </c>
      <c r="AC28" t="s">
        <v>98</v>
      </c>
      <c r="AD28" t="s">
        <v>98</v>
      </c>
      <c r="AE28" t="s">
        <v>242</v>
      </c>
      <c r="AF28" t="s">
        <v>97</v>
      </c>
      <c r="AG28" s="20">
        <v>8</v>
      </c>
      <c r="AH28" s="20">
        <v>6</v>
      </c>
      <c r="AI28" s="20">
        <v>2</v>
      </c>
      <c r="AJ28" s="22">
        <v>90</v>
      </c>
      <c r="AK28" s="22">
        <v>0</v>
      </c>
      <c r="AL28" s="22">
        <v>90</v>
      </c>
      <c r="AM28" s="74">
        <f t="shared" si="0"/>
        <v>0</v>
      </c>
      <c r="AN28" s="22" t="s">
        <v>245</v>
      </c>
      <c r="AO28" s="58">
        <v>0</v>
      </c>
      <c r="AP28" t="s">
        <v>233</v>
      </c>
      <c r="AQ28" t="s">
        <v>667</v>
      </c>
      <c r="AR28" t="s">
        <v>66</v>
      </c>
      <c r="AT28" t="s">
        <v>98</v>
      </c>
      <c r="AV28" t="s">
        <v>335</v>
      </c>
      <c r="AW28" t="s">
        <v>182</v>
      </c>
      <c r="AX28" t="s">
        <v>182</v>
      </c>
      <c r="AY28" t="s">
        <v>182</v>
      </c>
      <c r="AZ28" s="28"/>
      <c r="BA28" s="28"/>
      <c r="BB28" t="s">
        <v>102</v>
      </c>
    </row>
    <row r="29" spans="1:54" x14ac:dyDescent="0.6">
      <c r="A29" s="14" t="str">
        <f t="shared" si="1"/>
        <v>Y</v>
      </c>
      <c r="B29" s="14" t="str">
        <f t="shared" si="2"/>
        <v>Y</v>
      </c>
      <c r="C29" t="s">
        <v>141</v>
      </c>
      <c r="D29" t="s">
        <v>63</v>
      </c>
      <c r="E29" t="s">
        <v>63</v>
      </c>
      <c r="F29" t="str">
        <f t="shared" si="3"/>
        <v>N_N</v>
      </c>
      <c r="G29" s="22">
        <v>15</v>
      </c>
      <c r="H29" t="s">
        <v>53</v>
      </c>
      <c r="I29" s="5">
        <v>44131</v>
      </c>
      <c r="J29" s="7">
        <v>0.48680555555555555</v>
      </c>
      <c r="K29" s="20">
        <v>8.5</v>
      </c>
      <c r="L29" s="20">
        <v>9.5</v>
      </c>
      <c r="M29" s="20">
        <v>13</v>
      </c>
      <c r="N29" t="s">
        <v>88</v>
      </c>
      <c r="O29" t="s">
        <v>187</v>
      </c>
      <c r="P29" s="22">
        <v>29</v>
      </c>
      <c r="Q29" t="s">
        <v>22</v>
      </c>
      <c r="R29" t="s">
        <v>96</v>
      </c>
      <c r="S29" t="s">
        <v>63</v>
      </c>
      <c r="T29">
        <f t="shared" si="4"/>
        <v>7</v>
      </c>
      <c r="U29" s="5">
        <v>44138</v>
      </c>
      <c r="V29" s="7">
        <v>0.47569444444444442</v>
      </c>
      <c r="W29" s="5">
        <v>44145</v>
      </c>
      <c r="X29" s="7">
        <v>0.47222222222222227</v>
      </c>
      <c r="Y29" s="22">
        <f t="shared" si="5"/>
        <v>7</v>
      </c>
      <c r="Z29" t="s">
        <v>215</v>
      </c>
      <c r="AA29" t="s">
        <v>215</v>
      </c>
      <c r="AB29">
        <v>2</v>
      </c>
      <c r="AC29" t="s">
        <v>66</v>
      </c>
      <c r="AD29" t="s">
        <v>351</v>
      </c>
      <c r="AE29" t="s">
        <v>244</v>
      </c>
      <c r="AF29" t="s">
        <v>67</v>
      </c>
      <c r="AG29" s="20">
        <v>4.5</v>
      </c>
      <c r="AH29" s="20">
        <v>2</v>
      </c>
      <c r="AI29" s="20">
        <v>9</v>
      </c>
      <c r="AJ29" s="22">
        <v>80</v>
      </c>
      <c r="AK29" s="22">
        <v>0</v>
      </c>
      <c r="AL29" s="22">
        <v>0</v>
      </c>
      <c r="AM29" s="74">
        <f t="shared" si="0"/>
        <v>1</v>
      </c>
      <c r="AN29" s="22" t="s">
        <v>246</v>
      </c>
      <c r="AO29" s="58">
        <v>2</v>
      </c>
      <c r="AP29" t="s">
        <v>234</v>
      </c>
      <c r="AQ29" t="s">
        <v>667</v>
      </c>
      <c r="AR29" t="s">
        <v>66</v>
      </c>
      <c r="AT29" t="s">
        <v>98</v>
      </c>
      <c r="AV29" t="s">
        <v>335</v>
      </c>
      <c r="AW29" t="s">
        <v>182</v>
      </c>
      <c r="AX29" t="s">
        <v>182</v>
      </c>
      <c r="AY29" t="s">
        <v>182</v>
      </c>
      <c r="AZ29" s="28"/>
      <c r="BA29" s="28"/>
      <c r="BB29" t="s">
        <v>102</v>
      </c>
    </row>
    <row r="30" spans="1:54" x14ac:dyDescent="0.6">
      <c r="A30" s="14" t="str">
        <f t="shared" si="1"/>
        <v>Y</v>
      </c>
      <c r="B30" s="14" t="str">
        <f t="shared" si="2"/>
        <v>Y</v>
      </c>
      <c r="C30" t="s">
        <v>141</v>
      </c>
      <c r="D30" t="s">
        <v>63</v>
      </c>
      <c r="E30" t="s">
        <v>63</v>
      </c>
      <c r="F30" t="str">
        <f t="shared" si="3"/>
        <v>N_N</v>
      </c>
      <c r="G30" s="22">
        <v>16</v>
      </c>
      <c r="H30" t="s">
        <v>49</v>
      </c>
      <c r="I30" s="5">
        <v>44140</v>
      </c>
      <c r="J30" s="7">
        <v>0.4375</v>
      </c>
      <c r="K30" s="20">
        <v>8.5</v>
      </c>
      <c r="L30" s="20">
        <v>9</v>
      </c>
      <c r="M30" s="20">
        <v>12</v>
      </c>
      <c r="N30" t="s">
        <v>108</v>
      </c>
      <c r="O30" t="s">
        <v>188</v>
      </c>
      <c r="P30" s="22">
        <v>29</v>
      </c>
      <c r="Q30" t="s">
        <v>110</v>
      </c>
      <c r="R30" t="s">
        <v>112</v>
      </c>
      <c r="S30" t="s">
        <v>63</v>
      </c>
      <c r="T30">
        <f t="shared" si="4"/>
        <v>7</v>
      </c>
      <c r="U30" s="5">
        <v>44147</v>
      </c>
      <c r="V30" s="7">
        <v>0.4291666666666667</v>
      </c>
      <c r="W30" s="5">
        <v>44154</v>
      </c>
      <c r="X30" s="7">
        <v>0.40972222222222227</v>
      </c>
      <c r="Y30" s="22">
        <f t="shared" si="5"/>
        <v>7</v>
      </c>
      <c r="Z30" t="s">
        <v>216</v>
      </c>
      <c r="AA30" t="s">
        <v>216</v>
      </c>
      <c r="AB30">
        <v>1</v>
      </c>
      <c r="AC30" t="s">
        <v>117</v>
      </c>
      <c r="AD30" t="s">
        <v>117</v>
      </c>
      <c r="AE30" t="s">
        <v>242</v>
      </c>
      <c r="AF30" t="s">
        <v>120</v>
      </c>
      <c r="AG30" s="20">
        <v>10</v>
      </c>
      <c r="AH30" s="20">
        <v>7.5</v>
      </c>
      <c r="AI30" s="20">
        <v>5</v>
      </c>
      <c r="AJ30" s="22">
        <v>60</v>
      </c>
      <c r="AK30" s="22">
        <v>0</v>
      </c>
      <c r="AL30" s="22">
        <v>60</v>
      </c>
      <c r="AM30" s="74">
        <f t="shared" si="0"/>
        <v>0</v>
      </c>
      <c r="AN30" s="22" t="s">
        <v>245</v>
      </c>
      <c r="AO30" s="58">
        <v>0</v>
      </c>
      <c r="AP30" t="s">
        <v>233</v>
      </c>
      <c r="AQ30" t="s">
        <v>667</v>
      </c>
      <c r="AR30" t="s">
        <v>66</v>
      </c>
      <c r="AT30" t="s">
        <v>117</v>
      </c>
      <c r="AV30" t="s">
        <v>335</v>
      </c>
      <c r="AW30" t="s">
        <v>182</v>
      </c>
      <c r="AX30" t="s">
        <v>182</v>
      </c>
      <c r="AY30" t="s">
        <v>182</v>
      </c>
      <c r="AZ30" s="28"/>
      <c r="BA30" s="28"/>
      <c r="BB30" t="s">
        <v>122</v>
      </c>
    </row>
    <row r="31" spans="1:54" x14ac:dyDescent="0.6">
      <c r="A31" s="14" t="str">
        <f t="shared" si="1"/>
        <v>Y</v>
      </c>
      <c r="B31" s="14" t="str">
        <f t="shared" si="2"/>
        <v>Y</v>
      </c>
      <c r="C31" t="s">
        <v>141</v>
      </c>
      <c r="D31" t="s">
        <v>63</v>
      </c>
      <c r="E31" t="s">
        <v>63</v>
      </c>
      <c r="F31" t="str">
        <f t="shared" si="3"/>
        <v>N_N</v>
      </c>
      <c r="G31" s="22">
        <v>16</v>
      </c>
      <c r="H31" t="s">
        <v>49</v>
      </c>
      <c r="I31" s="5">
        <v>44140</v>
      </c>
      <c r="J31" s="7">
        <v>0.4375</v>
      </c>
      <c r="K31" s="20">
        <v>8.5</v>
      </c>
      <c r="L31" s="20">
        <v>9</v>
      </c>
      <c r="M31" s="20">
        <v>12</v>
      </c>
      <c r="N31" t="s">
        <v>108</v>
      </c>
      <c r="O31" t="s">
        <v>188</v>
      </c>
      <c r="P31" s="22">
        <v>29</v>
      </c>
      <c r="Q31" t="s">
        <v>110</v>
      </c>
      <c r="R31" t="s">
        <v>112</v>
      </c>
      <c r="S31" t="s">
        <v>63</v>
      </c>
      <c r="T31">
        <f t="shared" si="4"/>
        <v>7</v>
      </c>
      <c r="U31" s="5">
        <v>44147</v>
      </c>
      <c r="V31" s="7">
        <v>0.4291666666666667</v>
      </c>
      <c r="W31" s="5">
        <v>44154</v>
      </c>
      <c r="X31" s="7">
        <v>0.40972222222222227</v>
      </c>
      <c r="Y31" s="22">
        <f t="shared" si="5"/>
        <v>7</v>
      </c>
      <c r="Z31" t="s">
        <v>216</v>
      </c>
      <c r="AA31" t="s">
        <v>216</v>
      </c>
      <c r="AB31">
        <v>2</v>
      </c>
      <c r="AC31" t="s">
        <v>66</v>
      </c>
      <c r="AD31" t="s">
        <v>351</v>
      </c>
      <c r="AE31" t="s">
        <v>244</v>
      </c>
      <c r="AF31" t="s">
        <v>67</v>
      </c>
      <c r="AG31" s="20">
        <v>13</v>
      </c>
      <c r="AH31" s="20">
        <v>9</v>
      </c>
      <c r="AI31" s="20">
        <v>10</v>
      </c>
      <c r="AJ31" s="22">
        <v>50</v>
      </c>
      <c r="AK31" s="22">
        <v>0</v>
      </c>
      <c r="AL31" s="22">
        <v>5</v>
      </c>
      <c r="AM31" s="74">
        <f t="shared" si="0"/>
        <v>0.9</v>
      </c>
      <c r="AN31" s="22" t="s">
        <v>246</v>
      </c>
      <c r="AO31" s="58">
        <v>2</v>
      </c>
      <c r="AP31" t="s">
        <v>234</v>
      </c>
      <c r="AQ31" t="s">
        <v>667</v>
      </c>
      <c r="AR31" t="s">
        <v>66</v>
      </c>
      <c r="AT31" t="s">
        <v>117</v>
      </c>
      <c r="AV31" t="s">
        <v>335</v>
      </c>
      <c r="AW31" t="s">
        <v>182</v>
      </c>
      <c r="AX31" t="s">
        <v>182</v>
      </c>
      <c r="AY31" t="s">
        <v>182</v>
      </c>
      <c r="AZ31" s="28"/>
      <c r="BA31" s="28"/>
      <c r="BB31" t="s">
        <v>122</v>
      </c>
    </row>
    <row r="32" spans="1:54" ht="17.05" customHeight="1" x14ac:dyDescent="0.6">
      <c r="A32" s="14" t="str">
        <f t="shared" si="1"/>
        <v>Y</v>
      </c>
      <c r="B32" s="14" t="str">
        <f t="shared" si="2"/>
        <v>Y</v>
      </c>
      <c r="C32" t="s">
        <v>141</v>
      </c>
      <c r="D32" t="s">
        <v>63</v>
      </c>
      <c r="E32" t="s">
        <v>63</v>
      </c>
      <c r="F32" t="str">
        <f t="shared" si="3"/>
        <v>N_N</v>
      </c>
      <c r="G32" s="22">
        <v>17</v>
      </c>
      <c r="H32" t="s">
        <v>50</v>
      </c>
      <c r="I32" s="5">
        <v>44140</v>
      </c>
      <c r="J32" s="7">
        <v>0.4375</v>
      </c>
      <c r="K32" s="20">
        <v>11.5</v>
      </c>
      <c r="L32" s="20">
        <v>12</v>
      </c>
      <c r="M32" s="20">
        <v>20</v>
      </c>
      <c r="N32" t="s">
        <v>108</v>
      </c>
      <c r="O32" t="s">
        <v>188</v>
      </c>
      <c r="P32" s="22">
        <v>29</v>
      </c>
      <c r="Q32" t="s">
        <v>110</v>
      </c>
      <c r="R32" t="s">
        <v>113</v>
      </c>
      <c r="S32" t="s">
        <v>63</v>
      </c>
      <c r="T32">
        <f t="shared" si="4"/>
        <v>7</v>
      </c>
      <c r="U32" s="5">
        <v>44147</v>
      </c>
      <c r="V32" s="7">
        <v>0.43402777777777773</v>
      </c>
      <c r="W32" s="5">
        <v>44154</v>
      </c>
      <c r="X32" s="7">
        <v>0.41041666666666665</v>
      </c>
      <c r="Y32" s="22">
        <f t="shared" si="5"/>
        <v>7</v>
      </c>
      <c r="Z32" t="s">
        <v>217</v>
      </c>
      <c r="AA32" t="s">
        <v>217</v>
      </c>
      <c r="AB32">
        <v>1</v>
      </c>
      <c r="AC32" t="s">
        <v>118</v>
      </c>
      <c r="AD32" t="s">
        <v>118</v>
      </c>
      <c r="AE32" t="s">
        <v>244</v>
      </c>
      <c r="AF32" t="s">
        <v>121</v>
      </c>
      <c r="AG32" s="20">
        <v>8.5</v>
      </c>
      <c r="AH32" s="20">
        <v>3</v>
      </c>
      <c r="AI32" s="20">
        <v>7.5</v>
      </c>
      <c r="AJ32" s="22">
        <v>70</v>
      </c>
      <c r="AK32" s="22">
        <v>0</v>
      </c>
      <c r="AL32" s="22">
        <v>70</v>
      </c>
      <c r="AM32" s="74">
        <f t="shared" si="0"/>
        <v>0</v>
      </c>
      <c r="AN32" s="22" t="s">
        <v>245</v>
      </c>
      <c r="AO32" s="58">
        <v>0</v>
      </c>
      <c r="AP32" t="s">
        <v>233</v>
      </c>
      <c r="AQ32" t="s">
        <v>667</v>
      </c>
      <c r="AR32" t="s">
        <v>66</v>
      </c>
      <c r="AT32" t="s">
        <v>118</v>
      </c>
      <c r="AV32" t="s">
        <v>335</v>
      </c>
      <c r="AW32" t="s">
        <v>182</v>
      </c>
      <c r="AX32" t="s">
        <v>182</v>
      </c>
      <c r="AY32" t="s">
        <v>182</v>
      </c>
      <c r="AZ32" s="28"/>
      <c r="BA32" s="28"/>
      <c r="BB32" t="s">
        <v>122</v>
      </c>
    </row>
    <row r="33" spans="1:54" x14ac:dyDescent="0.6">
      <c r="A33" s="14" t="str">
        <f t="shared" si="1"/>
        <v>Y</v>
      </c>
      <c r="B33" s="14" t="str">
        <f t="shared" si="2"/>
        <v>Y</v>
      </c>
      <c r="C33" t="s">
        <v>141</v>
      </c>
      <c r="D33" t="s">
        <v>63</v>
      </c>
      <c r="E33" t="s">
        <v>63</v>
      </c>
      <c r="F33" t="str">
        <f t="shared" si="3"/>
        <v>N_N</v>
      </c>
      <c r="G33" s="22">
        <v>17</v>
      </c>
      <c r="H33" t="s">
        <v>50</v>
      </c>
      <c r="I33" s="5">
        <v>44140</v>
      </c>
      <c r="J33" s="7">
        <v>0.4375</v>
      </c>
      <c r="K33" s="20">
        <v>11.5</v>
      </c>
      <c r="L33" s="20">
        <v>12</v>
      </c>
      <c r="M33" s="20">
        <v>20</v>
      </c>
      <c r="N33" t="s">
        <v>108</v>
      </c>
      <c r="O33" t="s">
        <v>188</v>
      </c>
      <c r="P33" s="22">
        <v>29</v>
      </c>
      <c r="Q33" t="s">
        <v>110</v>
      </c>
      <c r="R33" t="s">
        <v>113</v>
      </c>
      <c r="S33" t="s">
        <v>63</v>
      </c>
      <c r="T33">
        <f t="shared" si="4"/>
        <v>7</v>
      </c>
      <c r="U33" s="5">
        <v>44147</v>
      </c>
      <c r="V33" s="7">
        <v>0.43402777777777773</v>
      </c>
      <c r="W33" s="5">
        <v>44154</v>
      </c>
      <c r="X33" s="7">
        <v>0.41041666666666665</v>
      </c>
      <c r="Y33" s="22">
        <f t="shared" si="5"/>
        <v>7</v>
      </c>
      <c r="Z33" t="s">
        <v>217</v>
      </c>
      <c r="AA33" t="s">
        <v>217</v>
      </c>
      <c r="AB33">
        <v>2</v>
      </c>
      <c r="AC33" t="s">
        <v>66</v>
      </c>
      <c r="AD33" t="s">
        <v>351</v>
      </c>
      <c r="AE33" t="s">
        <v>242</v>
      </c>
      <c r="AF33" t="s">
        <v>67</v>
      </c>
      <c r="AG33" s="20">
        <v>9.5</v>
      </c>
      <c r="AH33" s="20">
        <v>6</v>
      </c>
      <c r="AI33" s="20">
        <v>7.5</v>
      </c>
      <c r="AJ33" s="22">
        <v>65</v>
      </c>
      <c r="AK33" s="22">
        <v>0</v>
      </c>
      <c r="AL33" s="22">
        <v>0</v>
      </c>
      <c r="AM33" s="74">
        <f t="shared" si="0"/>
        <v>1</v>
      </c>
      <c r="AN33" s="22" t="s">
        <v>246</v>
      </c>
      <c r="AO33" s="58">
        <v>2</v>
      </c>
      <c r="AP33" t="s">
        <v>234</v>
      </c>
      <c r="AQ33" t="s">
        <v>667</v>
      </c>
      <c r="AR33" t="s">
        <v>66</v>
      </c>
      <c r="AT33" t="s">
        <v>118</v>
      </c>
      <c r="AV33" t="s">
        <v>335</v>
      </c>
      <c r="AW33" t="s">
        <v>182</v>
      </c>
      <c r="AX33" t="s">
        <v>182</v>
      </c>
      <c r="AY33" t="s">
        <v>182</v>
      </c>
      <c r="AZ33" s="28"/>
      <c r="BA33" s="28"/>
      <c r="BB33" t="s">
        <v>122</v>
      </c>
    </row>
    <row r="34" spans="1:54" x14ac:dyDescent="0.6">
      <c r="A34" s="14" t="str">
        <f t="shared" si="1"/>
        <v>Y</v>
      </c>
      <c r="B34" s="14" t="str">
        <f t="shared" si="2"/>
        <v>Y</v>
      </c>
      <c r="C34" t="s">
        <v>141</v>
      </c>
      <c r="D34" t="s">
        <v>63</v>
      </c>
      <c r="E34" t="s">
        <v>63</v>
      </c>
      <c r="F34" t="str">
        <f t="shared" si="3"/>
        <v>N_N</v>
      </c>
      <c r="G34" s="22">
        <v>18</v>
      </c>
      <c r="H34" s="11" t="s">
        <v>51</v>
      </c>
      <c r="I34" s="5">
        <v>44140</v>
      </c>
      <c r="J34" s="7">
        <v>0.4375</v>
      </c>
      <c r="K34" s="20">
        <v>12.5</v>
      </c>
      <c r="L34" s="20">
        <v>12.5</v>
      </c>
      <c r="M34" s="20">
        <v>21</v>
      </c>
      <c r="N34" t="s">
        <v>108</v>
      </c>
      <c r="O34" t="s">
        <v>189</v>
      </c>
      <c r="P34" s="22">
        <v>33</v>
      </c>
      <c r="Q34" t="s">
        <v>22</v>
      </c>
      <c r="R34" t="s">
        <v>114</v>
      </c>
      <c r="S34" t="s">
        <v>63</v>
      </c>
      <c r="T34">
        <f t="shared" si="4"/>
        <v>7</v>
      </c>
      <c r="U34" s="5">
        <v>44147</v>
      </c>
      <c r="V34" s="7">
        <v>0.44444444444444442</v>
      </c>
      <c r="W34" s="5">
        <v>44154</v>
      </c>
      <c r="X34" s="7">
        <v>0.41111111111111115</v>
      </c>
      <c r="Y34" s="22">
        <f t="shared" si="5"/>
        <v>7</v>
      </c>
      <c r="Z34" t="s">
        <v>218</v>
      </c>
      <c r="AA34" t="s">
        <v>218</v>
      </c>
      <c r="AB34">
        <v>1</v>
      </c>
      <c r="AC34" t="s">
        <v>119</v>
      </c>
      <c r="AD34" t="s">
        <v>119</v>
      </c>
      <c r="AE34" t="s">
        <v>242</v>
      </c>
      <c r="AF34" t="s">
        <v>120</v>
      </c>
      <c r="AG34" s="20">
        <v>8</v>
      </c>
      <c r="AH34" s="20">
        <v>8.5</v>
      </c>
      <c r="AI34" s="20">
        <v>4.5</v>
      </c>
      <c r="AJ34" s="22">
        <v>45</v>
      </c>
      <c r="AK34" s="22">
        <v>0</v>
      </c>
      <c r="AL34" s="22">
        <v>45</v>
      </c>
      <c r="AM34" s="74">
        <f t="shared" ref="AM34:AM65" si="6">((AJ34-AL34)/AJ34)</f>
        <v>0</v>
      </c>
      <c r="AN34" s="22" t="s">
        <v>245</v>
      </c>
      <c r="AO34" s="58">
        <v>0</v>
      </c>
      <c r="AP34" t="s">
        <v>233</v>
      </c>
      <c r="AQ34" t="s">
        <v>667</v>
      </c>
      <c r="AR34" t="s">
        <v>66</v>
      </c>
      <c r="AT34" t="s">
        <v>119</v>
      </c>
      <c r="AV34" t="s">
        <v>335</v>
      </c>
      <c r="AW34" t="s">
        <v>182</v>
      </c>
      <c r="AX34" t="s">
        <v>182</v>
      </c>
      <c r="AY34" t="s">
        <v>182</v>
      </c>
      <c r="AZ34" s="28"/>
      <c r="BA34" s="28"/>
      <c r="BB34" t="s">
        <v>122</v>
      </c>
    </row>
    <row r="35" spans="1:54" x14ac:dyDescent="0.6">
      <c r="A35" s="14" t="str">
        <f t="shared" si="1"/>
        <v>Y</v>
      </c>
      <c r="B35" s="14" t="str">
        <f t="shared" si="2"/>
        <v>Y</v>
      </c>
      <c r="C35" t="s">
        <v>141</v>
      </c>
      <c r="D35" t="s">
        <v>63</v>
      </c>
      <c r="E35" t="s">
        <v>63</v>
      </c>
      <c r="F35" t="str">
        <f t="shared" si="3"/>
        <v>N_N</v>
      </c>
      <c r="G35" s="22">
        <v>18</v>
      </c>
      <c r="H35" t="s">
        <v>51</v>
      </c>
      <c r="I35" s="5">
        <v>44140</v>
      </c>
      <c r="J35" s="7">
        <v>0.4375</v>
      </c>
      <c r="K35" s="20">
        <v>12.5</v>
      </c>
      <c r="L35" s="20">
        <v>12.5</v>
      </c>
      <c r="M35" s="20">
        <v>21</v>
      </c>
      <c r="N35" t="s">
        <v>108</v>
      </c>
      <c r="O35" t="s">
        <v>189</v>
      </c>
      <c r="P35" s="22">
        <v>33</v>
      </c>
      <c r="Q35" t="s">
        <v>22</v>
      </c>
      <c r="R35" t="s">
        <v>114</v>
      </c>
      <c r="S35" t="s">
        <v>63</v>
      </c>
      <c r="T35">
        <f t="shared" si="4"/>
        <v>7</v>
      </c>
      <c r="U35" s="5">
        <v>44147</v>
      </c>
      <c r="V35" s="7">
        <v>0.44444444444444442</v>
      </c>
      <c r="W35" s="5">
        <v>44154</v>
      </c>
      <c r="X35" s="7">
        <v>0.41111111111111115</v>
      </c>
      <c r="Y35" s="22">
        <f t="shared" si="5"/>
        <v>7</v>
      </c>
      <c r="Z35" t="s">
        <v>218</v>
      </c>
      <c r="AA35" t="s">
        <v>218</v>
      </c>
      <c r="AB35">
        <v>2</v>
      </c>
      <c r="AC35" t="s">
        <v>66</v>
      </c>
      <c r="AD35" t="s">
        <v>351</v>
      </c>
      <c r="AE35" t="s">
        <v>244</v>
      </c>
      <c r="AF35" t="s">
        <v>67</v>
      </c>
      <c r="AG35" s="20">
        <v>9</v>
      </c>
      <c r="AH35" s="20">
        <v>11</v>
      </c>
      <c r="AI35" s="20">
        <v>9</v>
      </c>
      <c r="AJ35" s="22">
        <v>35</v>
      </c>
      <c r="AK35" s="22">
        <v>0</v>
      </c>
      <c r="AL35" s="22">
        <v>0</v>
      </c>
      <c r="AM35" s="74">
        <f t="shared" si="6"/>
        <v>1</v>
      </c>
      <c r="AN35" s="22" t="s">
        <v>246</v>
      </c>
      <c r="AO35" s="58">
        <v>2</v>
      </c>
      <c r="AP35" t="s">
        <v>234</v>
      </c>
      <c r="AQ35" t="s">
        <v>667</v>
      </c>
      <c r="AR35" t="s">
        <v>66</v>
      </c>
      <c r="AT35" t="s">
        <v>119</v>
      </c>
      <c r="AV35" t="s">
        <v>335</v>
      </c>
      <c r="AW35" t="s">
        <v>182</v>
      </c>
      <c r="AX35" t="s">
        <v>182</v>
      </c>
      <c r="AY35" t="s">
        <v>182</v>
      </c>
      <c r="AZ35" s="28"/>
      <c r="BA35" s="28"/>
      <c r="BB35" t="s">
        <v>122</v>
      </c>
    </row>
    <row r="36" spans="1:54" x14ac:dyDescent="0.6">
      <c r="A36" s="14" t="str">
        <f t="shared" si="1"/>
        <v>Y</v>
      </c>
      <c r="B36" s="14" t="str">
        <f t="shared" si="2"/>
        <v>Y</v>
      </c>
      <c r="C36" t="s">
        <v>141</v>
      </c>
      <c r="D36" t="s">
        <v>63</v>
      </c>
      <c r="E36" t="s">
        <v>63</v>
      </c>
      <c r="F36" t="str">
        <f t="shared" si="3"/>
        <v>N_N</v>
      </c>
      <c r="G36" s="22">
        <v>19</v>
      </c>
      <c r="H36" t="s">
        <v>52</v>
      </c>
      <c r="I36" s="5">
        <v>44140</v>
      </c>
      <c r="J36" s="7">
        <v>0.4375</v>
      </c>
      <c r="K36" s="20">
        <v>11.5</v>
      </c>
      <c r="L36" s="20">
        <v>11.5</v>
      </c>
      <c r="M36" s="20">
        <v>17</v>
      </c>
      <c r="N36" t="s">
        <v>109</v>
      </c>
      <c r="O36" t="s">
        <v>189</v>
      </c>
      <c r="P36" s="22">
        <v>32</v>
      </c>
      <c r="Q36" t="s">
        <v>22</v>
      </c>
      <c r="R36" t="s">
        <v>115</v>
      </c>
      <c r="S36" t="s">
        <v>63</v>
      </c>
      <c r="T36">
        <f t="shared" si="4"/>
        <v>7</v>
      </c>
      <c r="U36" s="5">
        <v>44147</v>
      </c>
      <c r="V36" s="7">
        <v>0.44791666666666669</v>
      </c>
      <c r="W36" s="5">
        <v>44154</v>
      </c>
      <c r="X36" s="7">
        <v>0.41180555555555554</v>
      </c>
      <c r="Y36" s="22">
        <f t="shared" si="5"/>
        <v>7</v>
      </c>
      <c r="Z36" t="s">
        <v>218</v>
      </c>
      <c r="AA36" t="s">
        <v>218</v>
      </c>
      <c r="AB36">
        <v>1</v>
      </c>
      <c r="AC36" t="s">
        <v>119</v>
      </c>
      <c r="AD36" t="s">
        <v>119</v>
      </c>
      <c r="AE36" t="s">
        <v>242</v>
      </c>
      <c r="AF36" t="s">
        <v>120</v>
      </c>
      <c r="AG36" s="20">
        <v>7.5</v>
      </c>
      <c r="AH36" s="20">
        <v>6</v>
      </c>
      <c r="AI36" s="20">
        <v>3.5</v>
      </c>
      <c r="AJ36" s="22">
        <v>40</v>
      </c>
      <c r="AK36" s="22">
        <v>0</v>
      </c>
      <c r="AL36" s="22">
        <v>40</v>
      </c>
      <c r="AM36" s="74">
        <f t="shared" si="6"/>
        <v>0</v>
      </c>
      <c r="AN36" s="22" t="s">
        <v>245</v>
      </c>
      <c r="AO36" s="58">
        <v>0</v>
      </c>
      <c r="AP36" t="s">
        <v>233</v>
      </c>
      <c r="AQ36" t="s">
        <v>667</v>
      </c>
      <c r="AR36" t="s">
        <v>66</v>
      </c>
      <c r="AT36" t="s">
        <v>119</v>
      </c>
      <c r="AV36" t="s">
        <v>335</v>
      </c>
      <c r="AW36" t="s">
        <v>182</v>
      </c>
      <c r="AX36" t="s">
        <v>182</v>
      </c>
      <c r="AY36" t="s">
        <v>182</v>
      </c>
      <c r="AZ36" s="28"/>
      <c r="BA36" s="28"/>
      <c r="BB36" t="s">
        <v>122</v>
      </c>
    </row>
    <row r="37" spans="1:54" x14ac:dyDescent="0.6">
      <c r="A37" s="14" t="str">
        <f t="shared" si="1"/>
        <v>Y</v>
      </c>
      <c r="B37" s="14" t="str">
        <f t="shared" si="2"/>
        <v>Y</v>
      </c>
      <c r="C37" t="s">
        <v>141</v>
      </c>
      <c r="D37" t="s">
        <v>63</v>
      </c>
      <c r="E37" t="s">
        <v>63</v>
      </c>
      <c r="F37" t="str">
        <f t="shared" si="3"/>
        <v>N_N</v>
      </c>
      <c r="G37" s="22">
        <v>19</v>
      </c>
      <c r="H37" t="s">
        <v>52</v>
      </c>
      <c r="I37" s="5">
        <v>44140</v>
      </c>
      <c r="J37" s="7">
        <v>0.4375</v>
      </c>
      <c r="K37" s="20">
        <v>11.5</v>
      </c>
      <c r="L37" s="20">
        <v>11.5</v>
      </c>
      <c r="M37" s="20">
        <v>17</v>
      </c>
      <c r="N37" t="s">
        <v>109</v>
      </c>
      <c r="O37" t="s">
        <v>189</v>
      </c>
      <c r="P37" s="22">
        <v>32</v>
      </c>
      <c r="Q37" t="s">
        <v>22</v>
      </c>
      <c r="R37" t="s">
        <v>115</v>
      </c>
      <c r="S37" t="s">
        <v>63</v>
      </c>
      <c r="T37">
        <f t="shared" si="4"/>
        <v>7</v>
      </c>
      <c r="U37" s="5">
        <v>44147</v>
      </c>
      <c r="V37" s="7">
        <v>0.44791666666666669</v>
      </c>
      <c r="W37" s="5">
        <v>44154</v>
      </c>
      <c r="X37" s="7">
        <v>0.41180555555555554</v>
      </c>
      <c r="Y37" s="22">
        <f t="shared" si="5"/>
        <v>7</v>
      </c>
      <c r="Z37" t="s">
        <v>218</v>
      </c>
      <c r="AA37" t="s">
        <v>218</v>
      </c>
      <c r="AB37">
        <v>2</v>
      </c>
      <c r="AC37" t="s">
        <v>66</v>
      </c>
      <c r="AD37" t="s">
        <v>351</v>
      </c>
      <c r="AE37" t="s">
        <v>244</v>
      </c>
      <c r="AF37" t="s">
        <v>67</v>
      </c>
      <c r="AG37" s="20">
        <v>8.5</v>
      </c>
      <c r="AH37" s="20">
        <v>1.5</v>
      </c>
      <c r="AI37" s="20">
        <v>7</v>
      </c>
      <c r="AJ37" s="22">
        <v>55</v>
      </c>
      <c r="AK37" s="22">
        <v>0</v>
      </c>
      <c r="AL37" s="22">
        <v>0</v>
      </c>
      <c r="AM37" s="74">
        <f t="shared" si="6"/>
        <v>1</v>
      </c>
      <c r="AN37" s="22" t="s">
        <v>246</v>
      </c>
      <c r="AO37" s="58">
        <v>2</v>
      </c>
      <c r="AP37" t="s">
        <v>234</v>
      </c>
      <c r="AQ37" t="s">
        <v>667</v>
      </c>
      <c r="AR37" t="s">
        <v>66</v>
      </c>
      <c r="AT37" t="s">
        <v>119</v>
      </c>
      <c r="AV37" t="s">
        <v>335</v>
      </c>
      <c r="AW37" t="s">
        <v>182</v>
      </c>
      <c r="AX37" t="s">
        <v>182</v>
      </c>
      <c r="AY37" t="s">
        <v>182</v>
      </c>
      <c r="AZ37" s="28"/>
      <c r="BA37" s="28"/>
      <c r="BB37" t="s">
        <v>122</v>
      </c>
    </row>
    <row r="38" spans="1:54" x14ac:dyDescent="0.6">
      <c r="A38" s="14" t="str">
        <f t="shared" si="1"/>
        <v>Y</v>
      </c>
      <c r="B38" s="14" t="str">
        <f t="shared" si="2"/>
        <v>Y</v>
      </c>
      <c r="C38" t="s">
        <v>141</v>
      </c>
      <c r="D38" t="s">
        <v>63</v>
      </c>
      <c r="E38" t="s">
        <v>63</v>
      </c>
      <c r="F38" t="str">
        <f t="shared" si="3"/>
        <v>N_N</v>
      </c>
      <c r="G38" s="22">
        <v>20</v>
      </c>
      <c r="H38" t="s">
        <v>53</v>
      </c>
      <c r="I38" s="5">
        <v>44140</v>
      </c>
      <c r="J38" s="7">
        <v>0.4375</v>
      </c>
      <c r="K38" s="20">
        <v>12.5</v>
      </c>
      <c r="L38" s="20">
        <v>12</v>
      </c>
      <c r="M38" s="20">
        <v>21</v>
      </c>
      <c r="N38" t="s">
        <v>108</v>
      </c>
      <c r="O38" t="s">
        <v>190</v>
      </c>
      <c r="P38" s="22">
        <v>34</v>
      </c>
      <c r="Q38" t="s">
        <v>111</v>
      </c>
      <c r="R38" t="s">
        <v>116</v>
      </c>
      <c r="S38" t="s">
        <v>63</v>
      </c>
      <c r="T38">
        <f t="shared" si="4"/>
        <v>7</v>
      </c>
      <c r="U38" s="5">
        <v>44147</v>
      </c>
      <c r="V38" s="7">
        <v>0.45277777777777778</v>
      </c>
      <c r="W38" s="5">
        <v>44154</v>
      </c>
      <c r="X38" s="7">
        <v>0.41250000000000003</v>
      </c>
      <c r="Y38" s="22">
        <f t="shared" si="5"/>
        <v>7</v>
      </c>
      <c r="Z38" t="s">
        <v>216</v>
      </c>
      <c r="AA38" t="s">
        <v>216</v>
      </c>
      <c r="AB38">
        <v>1</v>
      </c>
      <c r="AC38" t="s">
        <v>117</v>
      </c>
      <c r="AD38" t="s">
        <v>117</v>
      </c>
      <c r="AE38" t="s">
        <v>242</v>
      </c>
      <c r="AF38" t="s">
        <v>120</v>
      </c>
      <c r="AG38" s="20">
        <v>12</v>
      </c>
      <c r="AH38" s="20">
        <v>6.5</v>
      </c>
      <c r="AI38" s="20">
        <v>4</v>
      </c>
      <c r="AJ38" s="22">
        <v>30</v>
      </c>
      <c r="AK38" s="22">
        <v>0</v>
      </c>
      <c r="AL38" s="22">
        <v>0</v>
      </c>
      <c r="AM38" s="74">
        <f t="shared" si="6"/>
        <v>1</v>
      </c>
      <c r="AN38" s="22" t="s">
        <v>247</v>
      </c>
      <c r="AO38" s="58">
        <v>1</v>
      </c>
      <c r="AP38" t="s">
        <v>234</v>
      </c>
      <c r="AQ38" t="s">
        <v>668</v>
      </c>
      <c r="AR38" t="s">
        <v>66</v>
      </c>
      <c r="AS38" t="s">
        <v>117</v>
      </c>
      <c r="AV38" t="s">
        <v>337</v>
      </c>
      <c r="AW38" t="s">
        <v>182</v>
      </c>
      <c r="AX38" t="s">
        <v>182</v>
      </c>
      <c r="AY38" t="s">
        <v>182</v>
      </c>
      <c r="AZ38" s="28"/>
      <c r="BA38" s="28"/>
      <c r="BB38" t="s">
        <v>122</v>
      </c>
    </row>
    <row r="39" spans="1:54" x14ac:dyDescent="0.6">
      <c r="A39" s="14" t="str">
        <f t="shared" si="1"/>
        <v>Y</v>
      </c>
      <c r="B39" s="14" t="str">
        <f t="shared" si="2"/>
        <v>Y</v>
      </c>
      <c r="C39" t="s">
        <v>141</v>
      </c>
      <c r="D39" t="s">
        <v>63</v>
      </c>
      <c r="E39" t="s">
        <v>63</v>
      </c>
      <c r="F39" t="str">
        <f t="shared" si="3"/>
        <v>N_N</v>
      </c>
      <c r="G39" s="22">
        <v>20</v>
      </c>
      <c r="H39" t="s">
        <v>53</v>
      </c>
      <c r="I39" s="5">
        <v>44140</v>
      </c>
      <c r="J39" s="7">
        <v>0.4375</v>
      </c>
      <c r="K39" s="20">
        <v>12.5</v>
      </c>
      <c r="L39" s="20">
        <v>12</v>
      </c>
      <c r="M39" s="20">
        <v>21</v>
      </c>
      <c r="N39" t="s">
        <v>108</v>
      </c>
      <c r="O39" t="s">
        <v>190</v>
      </c>
      <c r="P39" s="22">
        <v>34</v>
      </c>
      <c r="Q39" t="s">
        <v>111</v>
      </c>
      <c r="R39" t="s">
        <v>116</v>
      </c>
      <c r="S39" t="s">
        <v>63</v>
      </c>
      <c r="T39">
        <f t="shared" si="4"/>
        <v>7</v>
      </c>
      <c r="U39" s="5">
        <v>44147</v>
      </c>
      <c r="V39" s="7">
        <v>0.45277777777777778</v>
      </c>
      <c r="W39" s="5">
        <v>44154</v>
      </c>
      <c r="X39" s="7">
        <v>0.41250000000000003</v>
      </c>
      <c r="Y39" s="22">
        <f t="shared" si="5"/>
        <v>7</v>
      </c>
      <c r="Z39" t="s">
        <v>216</v>
      </c>
      <c r="AA39" t="s">
        <v>216</v>
      </c>
      <c r="AB39">
        <v>2</v>
      </c>
      <c r="AC39" t="s">
        <v>66</v>
      </c>
      <c r="AD39" t="s">
        <v>351</v>
      </c>
      <c r="AE39" t="s">
        <v>244</v>
      </c>
      <c r="AF39" t="s">
        <v>67</v>
      </c>
      <c r="AG39" s="20">
        <v>8</v>
      </c>
      <c r="AH39" s="20">
        <v>3</v>
      </c>
      <c r="AI39" s="20">
        <v>6.5</v>
      </c>
      <c r="AJ39" s="22">
        <v>80</v>
      </c>
      <c r="AK39" s="22">
        <v>0</v>
      </c>
      <c r="AL39" s="22">
        <v>0</v>
      </c>
      <c r="AM39" s="74">
        <f t="shared" si="6"/>
        <v>1</v>
      </c>
      <c r="AN39" s="22" t="s">
        <v>246</v>
      </c>
      <c r="AO39" s="58">
        <v>2</v>
      </c>
      <c r="AP39" t="s">
        <v>234</v>
      </c>
      <c r="AQ39" t="s">
        <v>668</v>
      </c>
      <c r="AR39" t="s">
        <v>66</v>
      </c>
      <c r="AS39" t="s">
        <v>117</v>
      </c>
      <c r="AV39" t="s">
        <v>337</v>
      </c>
      <c r="AW39" t="s">
        <v>182</v>
      </c>
      <c r="AX39" t="s">
        <v>182</v>
      </c>
      <c r="AY39" t="s">
        <v>182</v>
      </c>
      <c r="AZ39" s="28"/>
      <c r="BA39" s="28"/>
      <c r="BB39" t="s">
        <v>122</v>
      </c>
    </row>
    <row r="40" spans="1:54" ht="17.05" customHeight="1" x14ac:dyDescent="0.6">
      <c r="A40" s="14" t="str">
        <f t="shared" si="1"/>
        <v>Y</v>
      </c>
      <c r="B40" s="14" t="str">
        <f t="shared" si="2"/>
        <v>Y</v>
      </c>
      <c r="C40" t="s">
        <v>141</v>
      </c>
      <c r="D40" t="s">
        <v>63</v>
      </c>
      <c r="E40" t="s">
        <v>63</v>
      </c>
      <c r="F40" t="str">
        <f t="shared" si="3"/>
        <v>N_N</v>
      </c>
      <c r="G40" s="22">
        <v>21</v>
      </c>
      <c r="H40" t="s">
        <v>49</v>
      </c>
      <c r="I40" s="5">
        <v>44152</v>
      </c>
      <c r="J40" s="7">
        <v>0.49722222222222223</v>
      </c>
      <c r="K40" s="20">
        <v>11.5</v>
      </c>
      <c r="L40" s="20">
        <v>10</v>
      </c>
      <c r="M40" s="20">
        <v>18</v>
      </c>
      <c r="N40" t="s">
        <v>71</v>
      </c>
      <c r="O40" t="s">
        <v>136</v>
      </c>
      <c r="P40" s="22">
        <v>38</v>
      </c>
      <c r="Q40" t="s">
        <v>22</v>
      </c>
      <c r="R40" t="s">
        <v>126</v>
      </c>
      <c r="S40" s="56" t="s">
        <v>126</v>
      </c>
      <c r="T40">
        <f t="shared" si="4"/>
        <v>7</v>
      </c>
      <c r="U40" s="5">
        <v>44159</v>
      </c>
      <c r="V40" s="7">
        <v>0.48819444444444443</v>
      </c>
      <c r="W40" s="5">
        <v>44166</v>
      </c>
      <c r="X40" s="7">
        <v>0.58819444444444446</v>
      </c>
      <c r="Y40" s="22">
        <f t="shared" si="5"/>
        <v>7</v>
      </c>
      <c r="Z40" t="s">
        <v>217</v>
      </c>
      <c r="AA40" t="s">
        <v>217</v>
      </c>
      <c r="AB40">
        <v>1</v>
      </c>
      <c r="AC40" t="s">
        <v>118</v>
      </c>
      <c r="AD40" t="s">
        <v>118</v>
      </c>
      <c r="AE40" t="s">
        <v>242</v>
      </c>
      <c r="AF40" t="s">
        <v>121</v>
      </c>
      <c r="AG40" s="20">
        <v>13.5</v>
      </c>
      <c r="AH40" s="20">
        <v>6.5</v>
      </c>
      <c r="AI40" s="20">
        <v>10</v>
      </c>
      <c r="AJ40" s="22">
        <v>75</v>
      </c>
      <c r="AK40" s="22">
        <v>0</v>
      </c>
      <c r="AL40" s="22">
        <v>75</v>
      </c>
      <c r="AM40" s="74">
        <f t="shared" si="6"/>
        <v>0</v>
      </c>
      <c r="AN40" s="22" t="s">
        <v>245</v>
      </c>
      <c r="AO40" s="58">
        <v>0</v>
      </c>
      <c r="AP40" t="s">
        <v>233</v>
      </c>
      <c r="AQ40" t="s">
        <v>667</v>
      </c>
      <c r="AR40" t="s">
        <v>66</v>
      </c>
      <c r="AT40" t="s">
        <v>118</v>
      </c>
      <c r="AV40" t="s">
        <v>335</v>
      </c>
      <c r="AW40" t="s">
        <v>182</v>
      </c>
      <c r="AX40" t="s">
        <v>182</v>
      </c>
      <c r="AY40" t="s">
        <v>182</v>
      </c>
      <c r="AZ40" s="28"/>
      <c r="BA40" s="28"/>
      <c r="BB40"/>
    </row>
    <row r="41" spans="1:54" x14ac:dyDescent="0.6">
      <c r="A41" s="14" t="str">
        <f t="shared" si="1"/>
        <v>Y</v>
      </c>
      <c r="B41" s="14" t="str">
        <f t="shared" si="2"/>
        <v>Y</v>
      </c>
      <c r="C41" t="s">
        <v>141</v>
      </c>
      <c r="D41" t="s">
        <v>63</v>
      </c>
      <c r="E41" t="s">
        <v>63</v>
      </c>
      <c r="F41" t="str">
        <f t="shared" si="3"/>
        <v>N_N</v>
      </c>
      <c r="G41" s="22">
        <v>21</v>
      </c>
      <c r="H41" t="s">
        <v>49</v>
      </c>
      <c r="I41" s="5">
        <v>44152</v>
      </c>
      <c r="J41" s="7">
        <v>0.49722222222222223</v>
      </c>
      <c r="K41" s="20">
        <v>11.5</v>
      </c>
      <c r="L41" s="20">
        <v>10</v>
      </c>
      <c r="M41" s="20">
        <v>18</v>
      </c>
      <c r="N41" t="s">
        <v>71</v>
      </c>
      <c r="O41" t="s">
        <v>136</v>
      </c>
      <c r="P41" s="22">
        <v>38</v>
      </c>
      <c r="Q41" t="s">
        <v>22</v>
      </c>
      <c r="R41" t="s">
        <v>126</v>
      </c>
      <c r="S41" s="56" t="s">
        <v>126</v>
      </c>
      <c r="T41">
        <f t="shared" si="4"/>
        <v>7</v>
      </c>
      <c r="U41" s="5">
        <v>44159</v>
      </c>
      <c r="V41" s="7">
        <v>0.48819444444444443</v>
      </c>
      <c r="W41" s="5">
        <v>44166</v>
      </c>
      <c r="X41" s="7">
        <v>0.58819444444444446</v>
      </c>
      <c r="Y41" s="22">
        <f t="shared" si="5"/>
        <v>7</v>
      </c>
      <c r="Z41" t="s">
        <v>217</v>
      </c>
      <c r="AA41" t="s">
        <v>217</v>
      </c>
      <c r="AB41">
        <v>2</v>
      </c>
      <c r="AC41" t="s">
        <v>66</v>
      </c>
      <c r="AD41" t="s">
        <v>351</v>
      </c>
      <c r="AE41" t="s">
        <v>244</v>
      </c>
      <c r="AF41" t="s">
        <v>67</v>
      </c>
      <c r="AG41" s="20">
        <v>14</v>
      </c>
      <c r="AH41" s="20">
        <v>7.5</v>
      </c>
      <c r="AI41" s="20">
        <v>9.5</v>
      </c>
      <c r="AJ41" s="22">
        <v>80</v>
      </c>
      <c r="AK41" s="22">
        <v>0</v>
      </c>
      <c r="AL41" s="22">
        <v>5</v>
      </c>
      <c r="AM41" s="74">
        <f t="shared" si="6"/>
        <v>0.9375</v>
      </c>
      <c r="AN41" s="22" t="s">
        <v>246</v>
      </c>
      <c r="AO41" s="58">
        <v>2</v>
      </c>
      <c r="AP41" t="s">
        <v>234</v>
      </c>
      <c r="AQ41" t="s">
        <v>667</v>
      </c>
      <c r="AR41" t="s">
        <v>66</v>
      </c>
      <c r="AT41" t="s">
        <v>118</v>
      </c>
      <c r="AV41" t="s">
        <v>335</v>
      </c>
      <c r="AW41" t="s">
        <v>182</v>
      </c>
      <c r="AX41" t="s">
        <v>182</v>
      </c>
      <c r="AY41" t="s">
        <v>182</v>
      </c>
      <c r="AZ41" s="28"/>
      <c r="BA41" s="28"/>
      <c r="BB41"/>
    </row>
    <row r="42" spans="1:54" x14ac:dyDescent="0.6">
      <c r="A42" s="14" t="str">
        <f t="shared" si="1"/>
        <v>Y</v>
      </c>
      <c r="B42" s="14" t="str">
        <f t="shared" si="2"/>
        <v>Y</v>
      </c>
      <c r="C42" t="s">
        <v>141</v>
      </c>
      <c r="D42" t="s">
        <v>63</v>
      </c>
      <c r="E42" t="s">
        <v>63</v>
      </c>
      <c r="F42" t="str">
        <f t="shared" si="3"/>
        <v>N_N</v>
      </c>
      <c r="G42" s="22">
        <v>22</v>
      </c>
      <c r="H42" t="s">
        <v>50</v>
      </c>
      <c r="I42" s="5">
        <v>44152</v>
      </c>
      <c r="J42" s="7">
        <v>0.49722222222222223</v>
      </c>
      <c r="K42" s="20">
        <v>10.5</v>
      </c>
      <c r="L42" s="20">
        <v>10.5</v>
      </c>
      <c r="M42" s="20">
        <v>15</v>
      </c>
      <c r="N42" t="s">
        <v>71</v>
      </c>
      <c r="O42" t="s">
        <v>136</v>
      </c>
      <c r="P42" s="22">
        <v>38</v>
      </c>
      <c r="Q42" t="s">
        <v>111</v>
      </c>
      <c r="R42" t="s">
        <v>127</v>
      </c>
      <c r="S42" s="56" t="s">
        <v>127</v>
      </c>
      <c r="T42">
        <f t="shared" si="4"/>
        <v>7</v>
      </c>
      <c r="U42" s="5">
        <v>44159</v>
      </c>
      <c r="V42" s="7">
        <v>0.4916666666666667</v>
      </c>
      <c r="W42" s="5">
        <v>44166</v>
      </c>
      <c r="X42" s="7">
        <v>0.59583333333333333</v>
      </c>
      <c r="Y42" s="22">
        <f t="shared" si="5"/>
        <v>7</v>
      </c>
      <c r="Z42" t="s">
        <v>219</v>
      </c>
      <c r="AA42" t="s">
        <v>217</v>
      </c>
      <c r="AB42">
        <v>1</v>
      </c>
      <c r="AC42" t="s">
        <v>118</v>
      </c>
      <c r="AD42" t="s">
        <v>118</v>
      </c>
      <c r="AE42" t="s">
        <v>242</v>
      </c>
      <c r="AF42" t="s">
        <v>121</v>
      </c>
      <c r="AG42" s="20">
        <v>8.5</v>
      </c>
      <c r="AH42" s="20">
        <v>7.5</v>
      </c>
      <c r="AI42" s="20">
        <v>12.5</v>
      </c>
      <c r="AJ42" s="22">
        <v>35</v>
      </c>
      <c r="AK42" s="22">
        <v>0</v>
      </c>
      <c r="AL42" s="22">
        <v>35</v>
      </c>
      <c r="AM42" s="74">
        <f t="shared" si="6"/>
        <v>0</v>
      </c>
      <c r="AN42" s="22" t="s">
        <v>245</v>
      </c>
      <c r="AO42" s="58">
        <v>0</v>
      </c>
      <c r="AP42" t="s">
        <v>233</v>
      </c>
      <c r="AQ42" t="s">
        <v>667</v>
      </c>
      <c r="AR42" t="s">
        <v>132</v>
      </c>
      <c r="AT42" t="s">
        <v>118</v>
      </c>
      <c r="AV42" t="s">
        <v>335</v>
      </c>
      <c r="AW42" t="s">
        <v>182</v>
      </c>
      <c r="AX42" t="s">
        <v>182</v>
      </c>
      <c r="AY42" t="s">
        <v>182</v>
      </c>
      <c r="AZ42" s="28"/>
      <c r="BA42" s="28"/>
      <c r="BB42"/>
    </row>
    <row r="43" spans="1:54" x14ac:dyDescent="0.6">
      <c r="A43" s="14" t="str">
        <f t="shared" si="1"/>
        <v>Y</v>
      </c>
      <c r="B43" s="14" t="str">
        <f t="shared" si="2"/>
        <v>Y</v>
      </c>
      <c r="C43" t="s">
        <v>141</v>
      </c>
      <c r="D43" t="s">
        <v>63</v>
      </c>
      <c r="E43" t="s">
        <v>63</v>
      </c>
      <c r="F43" t="str">
        <f t="shared" si="3"/>
        <v>N_N</v>
      </c>
      <c r="G43" s="22">
        <v>22</v>
      </c>
      <c r="H43" t="s">
        <v>50</v>
      </c>
      <c r="I43" s="5">
        <v>44152</v>
      </c>
      <c r="J43" s="7">
        <v>0.49722222222222223</v>
      </c>
      <c r="K43" s="20">
        <v>10.5</v>
      </c>
      <c r="L43" s="20">
        <v>10.5</v>
      </c>
      <c r="M43" s="20">
        <v>15</v>
      </c>
      <c r="N43" t="s">
        <v>71</v>
      </c>
      <c r="O43" t="s">
        <v>136</v>
      </c>
      <c r="P43" s="22">
        <v>38</v>
      </c>
      <c r="Q43" t="s">
        <v>111</v>
      </c>
      <c r="R43" t="s">
        <v>127</v>
      </c>
      <c r="S43" s="56" t="s">
        <v>127</v>
      </c>
      <c r="T43">
        <f t="shared" si="4"/>
        <v>7</v>
      </c>
      <c r="U43" s="5">
        <v>44159</v>
      </c>
      <c r="V43" s="7">
        <v>0.4916666666666667</v>
      </c>
      <c r="W43" s="5">
        <v>44166</v>
      </c>
      <c r="X43" s="7">
        <v>0.59583333333333333</v>
      </c>
      <c r="Y43" s="22">
        <f t="shared" si="5"/>
        <v>7</v>
      </c>
      <c r="Z43" t="s">
        <v>219</v>
      </c>
      <c r="AA43" t="s">
        <v>217</v>
      </c>
      <c r="AB43">
        <v>2</v>
      </c>
      <c r="AC43" t="s">
        <v>132</v>
      </c>
      <c r="AD43" t="s">
        <v>351</v>
      </c>
      <c r="AE43" t="s">
        <v>244</v>
      </c>
      <c r="AF43" t="s">
        <v>67</v>
      </c>
      <c r="AG43" s="20">
        <v>10</v>
      </c>
      <c r="AH43" s="20">
        <v>7.5</v>
      </c>
      <c r="AI43" s="20">
        <v>11.5</v>
      </c>
      <c r="AJ43" s="22">
        <v>65</v>
      </c>
      <c r="AK43" s="22">
        <v>0</v>
      </c>
      <c r="AL43" s="22">
        <v>0</v>
      </c>
      <c r="AM43" s="74">
        <f t="shared" si="6"/>
        <v>1</v>
      </c>
      <c r="AN43" s="22" t="s">
        <v>246</v>
      </c>
      <c r="AO43" s="58">
        <v>2</v>
      </c>
      <c r="AP43" t="s">
        <v>234</v>
      </c>
      <c r="AQ43" t="s">
        <v>667</v>
      </c>
      <c r="AR43" t="s">
        <v>132</v>
      </c>
      <c r="AT43" t="s">
        <v>118</v>
      </c>
      <c r="AV43" t="s">
        <v>335</v>
      </c>
      <c r="AW43" t="s">
        <v>182</v>
      </c>
      <c r="AX43" t="s">
        <v>182</v>
      </c>
      <c r="AY43" t="s">
        <v>182</v>
      </c>
      <c r="AZ43" s="28"/>
      <c r="BA43" s="28"/>
      <c r="BB43"/>
    </row>
    <row r="44" spans="1:54" x14ac:dyDescent="0.6">
      <c r="A44" s="14" t="str">
        <f t="shared" si="1"/>
        <v>Y</v>
      </c>
      <c r="B44" s="14" t="str">
        <f t="shared" si="2"/>
        <v>Y</v>
      </c>
      <c r="C44" t="s">
        <v>141</v>
      </c>
      <c r="D44" t="s">
        <v>63</v>
      </c>
      <c r="E44" t="s">
        <v>63</v>
      </c>
      <c r="F44" t="str">
        <f t="shared" si="3"/>
        <v>N_N</v>
      </c>
      <c r="G44" s="22">
        <v>23</v>
      </c>
      <c r="H44" s="11" t="s">
        <v>51</v>
      </c>
      <c r="I44" s="5">
        <v>44152</v>
      </c>
      <c r="J44" s="7">
        <v>0.49722222222222223</v>
      </c>
      <c r="K44" s="20">
        <v>11</v>
      </c>
      <c r="L44" s="20">
        <v>11</v>
      </c>
      <c r="M44" s="20">
        <v>16</v>
      </c>
      <c r="N44" t="s">
        <v>125</v>
      </c>
      <c r="O44" t="s">
        <v>137</v>
      </c>
      <c r="P44" s="22">
        <v>41</v>
      </c>
      <c r="Q44" t="s">
        <v>79</v>
      </c>
      <c r="R44" t="s">
        <v>128</v>
      </c>
      <c r="S44" t="s">
        <v>63</v>
      </c>
      <c r="T44">
        <f t="shared" si="4"/>
        <v>7</v>
      </c>
      <c r="U44" s="5">
        <v>44159</v>
      </c>
      <c r="V44" s="7">
        <v>0.59166666666666667</v>
      </c>
      <c r="W44" s="5">
        <v>44166</v>
      </c>
      <c r="X44" s="7">
        <v>0.6</v>
      </c>
      <c r="Y44" s="22">
        <f t="shared" si="5"/>
        <v>7</v>
      </c>
      <c r="Z44" t="s">
        <v>217</v>
      </c>
      <c r="AA44" t="s">
        <v>217</v>
      </c>
      <c r="AB44">
        <v>1</v>
      </c>
      <c r="AC44" t="s">
        <v>118</v>
      </c>
      <c r="AD44" t="s">
        <v>118</v>
      </c>
      <c r="AE44" t="s">
        <v>242</v>
      </c>
      <c r="AF44" t="s">
        <v>121</v>
      </c>
      <c r="AG44" s="20">
        <v>7.5</v>
      </c>
      <c r="AH44" s="20">
        <v>4.5</v>
      </c>
      <c r="AI44" s="20">
        <v>8</v>
      </c>
      <c r="AJ44" s="22">
        <v>20</v>
      </c>
      <c r="AK44" s="22">
        <v>0</v>
      </c>
      <c r="AL44" s="22">
        <v>20</v>
      </c>
      <c r="AM44" s="74">
        <f t="shared" si="6"/>
        <v>0</v>
      </c>
      <c r="AN44" s="22" t="s">
        <v>245</v>
      </c>
      <c r="AO44" s="58">
        <v>0</v>
      </c>
      <c r="AP44" t="s">
        <v>233</v>
      </c>
      <c r="AQ44" t="s">
        <v>667</v>
      </c>
      <c r="AR44" t="s">
        <v>66</v>
      </c>
      <c r="AT44" t="s">
        <v>118</v>
      </c>
      <c r="AV44" t="s">
        <v>335</v>
      </c>
      <c r="AW44" t="s">
        <v>182</v>
      </c>
      <c r="AX44" t="s">
        <v>182</v>
      </c>
      <c r="AY44" t="s">
        <v>182</v>
      </c>
      <c r="AZ44" s="28"/>
      <c r="BA44" s="28"/>
      <c r="BB44"/>
    </row>
    <row r="45" spans="1:54" x14ac:dyDescent="0.6">
      <c r="A45" s="14" t="str">
        <f t="shared" si="1"/>
        <v>Y</v>
      </c>
      <c r="B45" s="14" t="str">
        <f t="shared" si="2"/>
        <v>Y</v>
      </c>
      <c r="C45" t="s">
        <v>141</v>
      </c>
      <c r="D45" t="s">
        <v>63</v>
      </c>
      <c r="E45" t="s">
        <v>63</v>
      </c>
      <c r="F45" t="str">
        <f t="shared" si="3"/>
        <v>N_N</v>
      </c>
      <c r="G45" s="22">
        <v>23</v>
      </c>
      <c r="H45" t="s">
        <v>51</v>
      </c>
      <c r="I45" s="5">
        <v>44152</v>
      </c>
      <c r="J45" s="7">
        <v>0.49722222222222223</v>
      </c>
      <c r="K45" s="20">
        <v>11</v>
      </c>
      <c r="L45" s="20">
        <v>11</v>
      </c>
      <c r="M45" s="20">
        <v>16</v>
      </c>
      <c r="N45" t="s">
        <v>125</v>
      </c>
      <c r="O45" t="s">
        <v>137</v>
      </c>
      <c r="P45" s="22">
        <v>41</v>
      </c>
      <c r="Q45" t="s">
        <v>79</v>
      </c>
      <c r="R45" t="s">
        <v>128</v>
      </c>
      <c r="S45" t="s">
        <v>63</v>
      </c>
      <c r="T45">
        <f t="shared" si="4"/>
        <v>7</v>
      </c>
      <c r="U45" s="5">
        <v>44159</v>
      </c>
      <c r="V45" s="7">
        <v>0.59166666666666667</v>
      </c>
      <c r="W45" s="5">
        <v>44166</v>
      </c>
      <c r="X45" s="7">
        <v>0.6</v>
      </c>
      <c r="Y45" s="22">
        <f t="shared" si="5"/>
        <v>7</v>
      </c>
      <c r="Z45" t="s">
        <v>217</v>
      </c>
      <c r="AA45" t="s">
        <v>217</v>
      </c>
      <c r="AB45">
        <v>2</v>
      </c>
      <c r="AC45" t="s">
        <v>66</v>
      </c>
      <c r="AD45" t="s">
        <v>351</v>
      </c>
      <c r="AE45" t="s">
        <v>244</v>
      </c>
      <c r="AF45" t="s">
        <v>67</v>
      </c>
      <c r="AG45" s="20">
        <v>7</v>
      </c>
      <c r="AH45" s="20">
        <v>5.5</v>
      </c>
      <c r="AI45" s="20">
        <v>4.5</v>
      </c>
      <c r="AJ45" s="22">
        <v>70</v>
      </c>
      <c r="AK45" s="22">
        <v>0</v>
      </c>
      <c r="AL45" s="22">
        <v>0</v>
      </c>
      <c r="AM45" s="74">
        <f t="shared" si="6"/>
        <v>1</v>
      </c>
      <c r="AN45" s="22" t="s">
        <v>246</v>
      </c>
      <c r="AO45" s="58">
        <v>2</v>
      </c>
      <c r="AP45" t="s">
        <v>234</v>
      </c>
      <c r="AQ45" t="s">
        <v>667</v>
      </c>
      <c r="AR45" t="s">
        <v>66</v>
      </c>
      <c r="AT45" t="s">
        <v>118</v>
      </c>
      <c r="AV45" t="s">
        <v>335</v>
      </c>
      <c r="AW45" t="s">
        <v>182</v>
      </c>
      <c r="AX45" t="s">
        <v>182</v>
      </c>
      <c r="AY45" t="s">
        <v>182</v>
      </c>
      <c r="AZ45" s="28"/>
      <c r="BA45" s="28"/>
      <c r="BB45"/>
    </row>
    <row r="46" spans="1:54" x14ac:dyDescent="0.6">
      <c r="A46" s="14" t="str">
        <f t="shared" si="1"/>
        <v>Y</v>
      </c>
      <c r="B46" s="14" t="str">
        <f t="shared" si="2"/>
        <v>Y</v>
      </c>
      <c r="C46" t="s">
        <v>141</v>
      </c>
      <c r="D46" t="s">
        <v>63</v>
      </c>
      <c r="E46" t="s">
        <v>63</v>
      </c>
      <c r="F46" t="str">
        <f t="shared" si="3"/>
        <v>N_N</v>
      </c>
      <c r="G46" s="22">
        <v>24</v>
      </c>
      <c r="H46" t="s">
        <v>52</v>
      </c>
      <c r="I46" s="5">
        <v>44152</v>
      </c>
      <c r="J46" s="7">
        <v>0.49722222222222223</v>
      </c>
      <c r="K46" s="20">
        <v>10.5</v>
      </c>
      <c r="L46" s="20">
        <v>11</v>
      </c>
      <c r="M46" s="20">
        <v>17</v>
      </c>
      <c r="N46" t="s">
        <v>125</v>
      </c>
      <c r="O46" t="s">
        <v>139</v>
      </c>
      <c r="P46" s="22">
        <v>44</v>
      </c>
      <c r="Q46" t="s">
        <v>106</v>
      </c>
      <c r="R46" t="s">
        <v>129</v>
      </c>
      <c r="S46" s="56" t="s">
        <v>129</v>
      </c>
      <c r="T46">
        <f t="shared" si="4"/>
        <v>7</v>
      </c>
      <c r="U46" s="5">
        <v>44159</v>
      </c>
      <c r="V46" s="7">
        <v>0.60416666666666663</v>
      </c>
      <c r="W46" s="5">
        <v>44166</v>
      </c>
      <c r="X46" s="7">
        <v>0.60416666666666663</v>
      </c>
      <c r="Y46" s="22">
        <f t="shared" si="5"/>
        <v>7</v>
      </c>
      <c r="Z46" t="s">
        <v>217</v>
      </c>
      <c r="AA46" t="s">
        <v>217</v>
      </c>
      <c r="AB46">
        <v>1</v>
      </c>
      <c r="AC46" t="s">
        <v>118</v>
      </c>
      <c r="AD46" t="s">
        <v>118</v>
      </c>
      <c r="AE46" t="s">
        <v>242</v>
      </c>
      <c r="AF46" t="s">
        <v>121</v>
      </c>
      <c r="AG46" s="20">
        <v>9.5</v>
      </c>
      <c r="AH46" s="20">
        <v>5.5</v>
      </c>
      <c r="AI46" s="20">
        <v>11</v>
      </c>
      <c r="AJ46" s="22">
        <v>35</v>
      </c>
      <c r="AK46" s="22">
        <v>0</v>
      </c>
      <c r="AL46" s="22">
        <v>35</v>
      </c>
      <c r="AM46" s="74">
        <f t="shared" si="6"/>
        <v>0</v>
      </c>
      <c r="AN46" s="22" t="s">
        <v>245</v>
      </c>
      <c r="AO46" s="58">
        <v>0</v>
      </c>
      <c r="AP46" t="s">
        <v>233</v>
      </c>
      <c r="AQ46" t="s">
        <v>667</v>
      </c>
      <c r="AR46" t="s">
        <v>66</v>
      </c>
      <c r="AT46" t="s">
        <v>118</v>
      </c>
      <c r="AV46" t="s">
        <v>335</v>
      </c>
      <c r="AW46" t="s">
        <v>182</v>
      </c>
      <c r="AX46" t="s">
        <v>182</v>
      </c>
      <c r="AY46" t="s">
        <v>182</v>
      </c>
      <c r="AZ46" s="28"/>
      <c r="BA46" s="28"/>
      <c r="BB46"/>
    </row>
    <row r="47" spans="1:54" x14ac:dyDescent="0.6">
      <c r="A47" s="14" t="str">
        <f t="shared" si="1"/>
        <v>Y</v>
      </c>
      <c r="B47" s="14" t="str">
        <f t="shared" si="2"/>
        <v>Y</v>
      </c>
      <c r="C47" t="s">
        <v>141</v>
      </c>
      <c r="D47" t="s">
        <v>63</v>
      </c>
      <c r="E47" t="s">
        <v>63</v>
      </c>
      <c r="F47" t="str">
        <f t="shared" si="3"/>
        <v>N_N</v>
      </c>
      <c r="G47" s="22">
        <v>24</v>
      </c>
      <c r="H47" t="s">
        <v>52</v>
      </c>
      <c r="I47" s="5">
        <v>44152</v>
      </c>
      <c r="J47" s="7">
        <v>0.49722222222222223</v>
      </c>
      <c r="K47" s="20">
        <v>10.5</v>
      </c>
      <c r="L47" s="20">
        <v>11</v>
      </c>
      <c r="M47" s="20">
        <v>17</v>
      </c>
      <c r="N47" t="s">
        <v>125</v>
      </c>
      <c r="O47" t="s">
        <v>139</v>
      </c>
      <c r="P47" s="22">
        <v>44</v>
      </c>
      <c r="Q47" t="s">
        <v>106</v>
      </c>
      <c r="R47" t="s">
        <v>129</v>
      </c>
      <c r="S47" s="56" t="s">
        <v>129</v>
      </c>
      <c r="T47">
        <f t="shared" si="4"/>
        <v>7</v>
      </c>
      <c r="U47" s="5">
        <v>44159</v>
      </c>
      <c r="V47" s="7">
        <v>0.60416666666666663</v>
      </c>
      <c r="W47" s="5">
        <v>44166</v>
      </c>
      <c r="X47" s="7">
        <v>0.60416666666666663</v>
      </c>
      <c r="Y47" s="22">
        <f t="shared" si="5"/>
        <v>7</v>
      </c>
      <c r="Z47" t="s">
        <v>217</v>
      </c>
      <c r="AA47" t="s">
        <v>217</v>
      </c>
      <c r="AB47">
        <v>2</v>
      </c>
      <c r="AC47" t="s">
        <v>66</v>
      </c>
      <c r="AD47" t="s">
        <v>351</v>
      </c>
      <c r="AE47" t="s">
        <v>244</v>
      </c>
      <c r="AF47" t="s">
        <v>67</v>
      </c>
      <c r="AG47" s="20">
        <v>7.5</v>
      </c>
      <c r="AH47" s="20">
        <v>3.5</v>
      </c>
      <c r="AI47" s="20">
        <v>9</v>
      </c>
      <c r="AJ47" s="22">
        <v>75</v>
      </c>
      <c r="AK47" s="22">
        <v>0</v>
      </c>
      <c r="AL47" s="22">
        <v>0</v>
      </c>
      <c r="AM47" s="76">
        <f t="shared" si="6"/>
        <v>1</v>
      </c>
      <c r="AN47" s="22" t="s">
        <v>246</v>
      </c>
      <c r="AO47" s="58">
        <v>2</v>
      </c>
      <c r="AP47" t="s">
        <v>234</v>
      </c>
      <c r="AQ47" t="s">
        <v>667</v>
      </c>
      <c r="AR47" t="s">
        <v>66</v>
      </c>
      <c r="AT47" t="s">
        <v>118</v>
      </c>
      <c r="AV47" t="s">
        <v>335</v>
      </c>
      <c r="AW47" t="s">
        <v>182</v>
      </c>
      <c r="AX47" t="s">
        <v>182</v>
      </c>
      <c r="AY47" t="s">
        <v>182</v>
      </c>
      <c r="AZ47" s="28"/>
      <c r="BA47" s="28"/>
      <c r="BB47"/>
    </row>
    <row r="48" spans="1:54" x14ac:dyDescent="0.6">
      <c r="A48" s="14" t="str">
        <f t="shared" si="1"/>
        <v>Y</v>
      </c>
      <c r="B48" s="14" t="str">
        <f t="shared" si="2"/>
        <v>Y</v>
      </c>
      <c r="C48" t="s">
        <v>141</v>
      </c>
      <c r="D48" t="s">
        <v>63</v>
      </c>
      <c r="E48" t="s">
        <v>63</v>
      </c>
      <c r="F48" t="str">
        <f t="shared" si="3"/>
        <v>N_N</v>
      </c>
      <c r="G48" s="22">
        <v>25</v>
      </c>
      <c r="H48" t="s">
        <v>53</v>
      </c>
      <c r="I48" s="5">
        <v>44152</v>
      </c>
      <c r="J48" s="7">
        <v>0.49722222222222223</v>
      </c>
      <c r="K48" s="20">
        <v>12</v>
      </c>
      <c r="L48" s="20">
        <v>11.5</v>
      </c>
      <c r="M48" s="20">
        <v>17</v>
      </c>
      <c r="N48" t="s">
        <v>71</v>
      </c>
      <c r="O48" t="s">
        <v>138</v>
      </c>
      <c r="P48" s="22">
        <v>46</v>
      </c>
      <c r="Q48" t="s">
        <v>57</v>
      </c>
      <c r="R48" t="s">
        <v>130</v>
      </c>
      <c r="S48" t="s">
        <v>63</v>
      </c>
      <c r="T48">
        <f t="shared" si="4"/>
        <v>7</v>
      </c>
      <c r="U48" s="5">
        <v>44159</v>
      </c>
      <c r="V48" s="7">
        <v>0.61111111111111105</v>
      </c>
      <c r="W48" s="5">
        <v>44166</v>
      </c>
      <c r="X48" s="7">
        <v>0.60416666666666663</v>
      </c>
      <c r="Y48" s="22">
        <f t="shared" si="5"/>
        <v>7</v>
      </c>
      <c r="Z48" t="s">
        <v>217</v>
      </c>
      <c r="AA48" t="s">
        <v>217</v>
      </c>
      <c r="AB48">
        <v>1</v>
      </c>
      <c r="AC48" t="s">
        <v>118</v>
      </c>
      <c r="AD48" t="s">
        <v>118</v>
      </c>
      <c r="AE48" t="s">
        <v>242</v>
      </c>
      <c r="AF48" t="s">
        <v>121</v>
      </c>
      <c r="AG48" s="20">
        <v>8.5</v>
      </c>
      <c r="AH48" s="20">
        <v>4.5</v>
      </c>
      <c r="AI48" s="20">
        <v>8.5</v>
      </c>
      <c r="AJ48" s="22">
        <v>70</v>
      </c>
      <c r="AK48" s="22">
        <v>0</v>
      </c>
      <c r="AL48" s="22">
        <v>70</v>
      </c>
      <c r="AM48" s="74">
        <f t="shared" si="6"/>
        <v>0</v>
      </c>
      <c r="AN48" s="22" t="s">
        <v>245</v>
      </c>
      <c r="AO48" s="58">
        <v>0</v>
      </c>
      <c r="AP48" t="s">
        <v>233</v>
      </c>
      <c r="AQ48" t="s">
        <v>667</v>
      </c>
      <c r="AR48" t="s">
        <v>66</v>
      </c>
      <c r="AT48" t="s">
        <v>118</v>
      </c>
      <c r="AV48" t="s">
        <v>335</v>
      </c>
      <c r="AW48" t="s">
        <v>182</v>
      </c>
      <c r="AX48" t="s">
        <v>182</v>
      </c>
      <c r="AY48" t="s">
        <v>182</v>
      </c>
      <c r="AZ48" s="28"/>
      <c r="BA48" s="28"/>
      <c r="BB48"/>
    </row>
    <row r="49" spans="1:54" x14ac:dyDescent="0.6">
      <c r="A49" s="14" t="str">
        <f t="shared" si="1"/>
        <v>Y</v>
      </c>
      <c r="B49" s="14" t="str">
        <f t="shared" si="2"/>
        <v>Y</v>
      </c>
      <c r="C49" t="s">
        <v>141</v>
      </c>
      <c r="D49" t="s">
        <v>63</v>
      </c>
      <c r="E49" t="s">
        <v>63</v>
      </c>
      <c r="F49" t="str">
        <f t="shared" si="3"/>
        <v>N_N</v>
      </c>
      <c r="G49" s="22">
        <v>25</v>
      </c>
      <c r="H49" t="s">
        <v>53</v>
      </c>
      <c r="I49" s="5">
        <v>44152</v>
      </c>
      <c r="J49" s="7">
        <v>0.49722222222222223</v>
      </c>
      <c r="K49" s="20">
        <v>12</v>
      </c>
      <c r="L49" s="20">
        <v>11.5</v>
      </c>
      <c r="M49" s="20">
        <v>17</v>
      </c>
      <c r="N49" t="s">
        <v>71</v>
      </c>
      <c r="O49" t="s">
        <v>138</v>
      </c>
      <c r="P49" s="22">
        <v>46</v>
      </c>
      <c r="Q49" t="s">
        <v>57</v>
      </c>
      <c r="R49" t="s">
        <v>130</v>
      </c>
      <c r="S49" t="s">
        <v>63</v>
      </c>
      <c r="T49">
        <f t="shared" si="4"/>
        <v>7</v>
      </c>
      <c r="U49" s="5">
        <v>44159</v>
      </c>
      <c r="V49" s="7">
        <v>0.61111111111111105</v>
      </c>
      <c r="W49" s="5">
        <v>44166</v>
      </c>
      <c r="X49" s="7">
        <v>0.60416666666666663</v>
      </c>
      <c r="Y49" s="22">
        <f t="shared" si="5"/>
        <v>7</v>
      </c>
      <c r="Z49" t="s">
        <v>217</v>
      </c>
      <c r="AA49" t="s">
        <v>217</v>
      </c>
      <c r="AB49">
        <v>2</v>
      </c>
      <c r="AC49" t="s">
        <v>66</v>
      </c>
      <c r="AD49" t="s">
        <v>351</v>
      </c>
      <c r="AE49" t="s">
        <v>244</v>
      </c>
      <c r="AF49" t="s">
        <v>67</v>
      </c>
      <c r="AG49" s="20">
        <v>5</v>
      </c>
      <c r="AH49" s="20">
        <v>4.5</v>
      </c>
      <c r="AI49" s="20">
        <v>4.5</v>
      </c>
      <c r="AJ49" s="22">
        <v>90</v>
      </c>
      <c r="AK49" s="22">
        <v>0</v>
      </c>
      <c r="AL49" s="22">
        <v>0</v>
      </c>
      <c r="AM49" s="74">
        <f t="shared" si="6"/>
        <v>1</v>
      </c>
      <c r="AN49" s="22" t="s">
        <v>246</v>
      </c>
      <c r="AO49" s="58">
        <v>2</v>
      </c>
      <c r="AP49" t="s">
        <v>234</v>
      </c>
      <c r="AQ49" t="s">
        <v>667</v>
      </c>
      <c r="AR49" t="s">
        <v>66</v>
      </c>
      <c r="AT49" t="s">
        <v>118</v>
      </c>
      <c r="AV49" t="s">
        <v>335</v>
      </c>
      <c r="AW49" t="s">
        <v>182</v>
      </c>
      <c r="AX49" t="s">
        <v>182</v>
      </c>
      <c r="AY49" t="s">
        <v>182</v>
      </c>
      <c r="AZ49" s="28"/>
      <c r="BA49" s="28"/>
      <c r="BB49"/>
    </row>
    <row r="50" spans="1:54" x14ac:dyDescent="0.6">
      <c r="A50" s="14" t="str">
        <f t="shared" si="1"/>
        <v>N</v>
      </c>
      <c r="B50" s="14" t="str">
        <f t="shared" si="2"/>
        <v>Y</v>
      </c>
      <c r="C50" t="s">
        <v>141</v>
      </c>
      <c r="D50" t="s">
        <v>63</v>
      </c>
      <c r="E50" t="s">
        <v>63</v>
      </c>
      <c r="F50" t="str">
        <f t="shared" si="3"/>
        <v>N_N</v>
      </c>
      <c r="G50" s="22">
        <v>26</v>
      </c>
      <c r="H50" t="s">
        <v>49</v>
      </c>
      <c r="I50" s="5">
        <v>44182</v>
      </c>
      <c r="J50" s="7">
        <v>0.58958333333333335</v>
      </c>
      <c r="K50" s="20">
        <v>10</v>
      </c>
      <c r="L50" s="20">
        <v>11</v>
      </c>
      <c r="M50" s="20">
        <v>17</v>
      </c>
      <c r="N50" t="s">
        <v>109</v>
      </c>
      <c r="O50" t="s">
        <v>142</v>
      </c>
      <c r="P50" s="22">
        <v>25</v>
      </c>
      <c r="Q50" t="s">
        <v>79</v>
      </c>
      <c r="R50" t="s">
        <v>180</v>
      </c>
      <c r="S50" s="56" t="s">
        <v>180</v>
      </c>
      <c r="T50">
        <f t="shared" si="4"/>
        <v>6</v>
      </c>
      <c r="U50" s="5">
        <v>44188</v>
      </c>
      <c r="V50" s="7">
        <v>0.48055555555555557</v>
      </c>
      <c r="W50" s="5">
        <v>44195</v>
      </c>
      <c r="X50" s="7">
        <v>0.42638888888888887</v>
      </c>
      <c r="Y50" s="22">
        <f t="shared" si="5"/>
        <v>7</v>
      </c>
      <c r="Z50" t="s">
        <v>220</v>
      </c>
      <c r="AA50" t="s">
        <v>220</v>
      </c>
      <c r="AB50">
        <v>1</v>
      </c>
      <c r="AC50" t="s">
        <v>119</v>
      </c>
      <c r="AD50" t="s">
        <v>119</v>
      </c>
      <c r="AE50" t="s">
        <v>242</v>
      </c>
      <c r="AF50" t="s">
        <v>120</v>
      </c>
      <c r="AG50" s="20">
        <v>6</v>
      </c>
      <c r="AH50" s="20">
        <v>3</v>
      </c>
      <c r="AI50" s="20">
        <v>1.5</v>
      </c>
      <c r="AJ50" s="22">
        <v>50</v>
      </c>
      <c r="AK50" s="22">
        <v>0</v>
      </c>
      <c r="AL50" s="22">
        <v>0</v>
      </c>
      <c r="AM50" s="74">
        <f t="shared" si="6"/>
        <v>1</v>
      </c>
      <c r="AN50" s="22" t="s">
        <v>246</v>
      </c>
      <c r="AO50" s="58">
        <v>2</v>
      </c>
      <c r="AP50" t="s">
        <v>234</v>
      </c>
      <c r="AQ50" t="s">
        <v>667</v>
      </c>
      <c r="AR50" t="s">
        <v>119</v>
      </c>
      <c r="AT50" t="s">
        <v>118</v>
      </c>
      <c r="AV50" t="s">
        <v>335</v>
      </c>
      <c r="AW50" t="s">
        <v>182</v>
      </c>
      <c r="AX50" t="s">
        <v>182</v>
      </c>
      <c r="AY50" t="s">
        <v>182</v>
      </c>
      <c r="AZ50" s="28"/>
      <c r="BA50" s="28"/>
      <c r="BB50"/>
    </row>
    <row r="51" spans="1:54" x14ac:dyDescent="0.6">
      <c r="A51" s="14" t="str">
        <f t="shared" si="1"/>
        <v>N</v>
      </c>
      <c r="B51" s="14" t="str">
        <f t="shared" si="2"/>
        <v>Y</v>
      </c>
      <c r="C51" t="s">
        <v>141</v>
      </c>
      <c r="D51" t="s">
        <v>63</v>
      </c>
      <c r="E51" t="s">
        <v>63</v>
      </c>
      <c r="F51" t="str">
        <f t="shared" si="3"/>
        <v>N_N</v>
      </c>
      <c r="G51" s="22">
        <v>26</v>
      </c>
      <c r="H51" t="s">
        <v>49</v>
      </c>
      <c r="I51" s="5">
        <v>44182</v>
      </c>
      <c r="J51" s="7">
        <v>0.58958333333333335</v>
      </c>
      <c r="K51" s="20">
        <v>10</v>
      </c>
      <c r="L51" s="20">
        <v>11</v>
      </c>
      <c r="M51" s="20">
        <v>17</v>
      </c>
      <c r="N51" t="s">
        <v>109</v>
      </c>
      <c r="O51" t="s">
        <v>142</v>
      </c>
      <c r="P51" s="22">
        <v>25</v>
      </c>
      <c r="Q51" t="s">
        <v>79</v>
      </c>
      <c r="R51" t="s">
        <v>180</v>
      </c>
      <c r="S51" s="56" t="s">
        <v>180</v>
      </c>
      <c r="T51">
        <f t="shared" si="4"/>
        <v>6</v>
      </c>
      <c r="U51" s="5">
        <v>44188</v>
      </c>
      <c r="V51" s="7">
        <v>0.48055555555555557</v>
      </c>
      <c r="W51" s="5">
        <v>44195</v>
      </c>
      <c r="X51" s="7">
        <v>0.42638888888888887</v>
      </c>
      <c r="Y51" s="22">
        <f t="shared" si="5"/>
        <v>7</v>
      </c>
      <c r="Z51" t="s">
        <v>220</v>
      </c>
      <c r="AA51" t="s">
        <v>220</v>
      </c>
      <c r="AB51">
        <v>2</v>
      </c>
      <c r="AC51" t="s">
        <v>118</v>
      </c>
      <c r="AD51" t="s">
        <v>118</v>
      </c>
      <c r="AE51" t="s">
        <v>244</v>
      </c>
      <c r="AF51" t="s">
        <v>121</v>
      </c>
      <c r="AG51" s="20">
        <v>8.5</v>
      </c>
      <c r="AH51" s="20">
        <v>7.5</v>
      </c>
      <c r="AI51" s="20">
        <v>5</v>
      </c>
      <c r="AJ51" s="22">
        <v>40</v>
      </c>
      <c r="AK51" s="22">
        <v>0</v>
      </c>
      <c r="AL51" s="22">
        <v>40</v>
      </c>
      <c r="AM51" s="74">
        <f t="shared" si="6"/>
        <v>0</v>
      </c>
      <c r="AN51" s="22" t="s">
        <v>245</v>
      </c>
      <c r="AO51" s="58">
        <v>0</v>
      </c>
      <c r="AP51" t="s">
        <v>233</v>
      </c>
      <c r="AQ51" t="s">
        <v>667</v>
      </c>
      <c r="AR51" t="s">
        <v>119</v>
      </c>
      <c r="AT51" t="s">
        <v>118</v>
      </c>
      <c r="AV51" t="s">
        <v>335</v>
      </c>
      <c r="AW51" t="s">
        <v>182</v>
      </c>
      <c r="AX51" t="s">
        <v>182</v>
      </c>
      <c r="AY51" t="s">
        <v>182</v>
      </c>
      <c r="AZ51" s="28"/>
      <c r="BA51" s="28"/>
      <c r="BB51"/>
    </row>
    <row r="52" spans="1:54" x14ac:dyDescent="0.6">
      <c r="A52" s="14" t="str">
        <f t="shared" si="1"/>
        <v>N</v>
      </c>
      <c r="B52" s="14" t="str">
        <f t="shared" si="2"/>
        <v>Y</v>
      </c>
      <c r="C52" t="s">
        <v>141</v>
      </c>
      <c r="D52" t="s">
        <v>63</v>
      </c>
      <c r="E52" t="s">
        <v>63</v>
      </c>
      <c r="F52" t="str">
        <f t="shared" si="3"/>
        <v>N_N</v>
      </c>
      <c r="G52" s="22">
        <v>27</v>
      </c>
      <c r="H52" t="s">
        <v>50</v>
      </c>
      <c r="I52" s="5">
        <v>44182</v>
      </c>
      <c r="J52" s="7">
        <v>0.58958333333333335</v>
      </c>
      <c r="K52" s="20">
        <v>11</v>
      </c>
      <c r="L52" s="20">
        <v>11</v>
      </c>
      <c r="M52" s="20">
        <v>18</v>
      </c>
      <c r="N52" t="s">
        <v>109</v>
      </c>
      <c r="O52" t="s">
        <v>143</v>
      </c>
      <c r="P52" s="22">
        <v>25</v>
      </c>
      <c r="Q52" t="s">
        <v>145</v>
      </c>
      <c r="R52" t="s">
        <v>192</v>
      </c>
      <c r="S52" s="56" t="s">
        <v>192</v>
      </c>
      <c r="T52">
        <f t="shared" si="4"/>
        <v>6</v>
      </c>
      <c r="U52" s="5">
        <v>44188</v>
      </c>
      <c r="V52" s="7">
        <v>0.48680555555555555</v>
      </c>
      <c r="W52" s="5">
        <v>44195</v>
      </c>
      <c r="X52" s="7">
        <v>0.42986111111111108</v>
      </c>
      <c r="Y52" s="22">
        <f t="shared" si="5"/>
        <v>7</v>
      </c>
      <c r="Z52" t="s">
        <v>221</v>
      </c>
      <c r="AA52" t="s">
        <v>221</v>
      </c>
      <c r="AB52">
        <v>1</v>
      </c>
      <c r="AC52" t="s">
        <v>119</v>
      </c>
      <c r="AD52" t="s">
        <v>119</v>
      </c>
      <c r="AE52" t="s">
        <v>242</v>
      </c>
      <c r="AF52" t="s">
        <v>120</v>
      </c>
      <c r="AG52" s="20">
        <v>16</v>
      </c>
      <c r="AH52" s="20">
        <v>10.5</v>
      </c>
      <c r="AI52" s="20">
        <v>7.5</v>
      </c>
      <c r="AJ52" s="22">
        <v>25</v>
      </c>
      <c r="AK52" s="22">
        <v>0</v>
      </c>
      <c r="AL52" s="22">
        <v>25</v>
      </c>
      <c r="AM52" s="74">
        <f t="shared" si="6"/>
        <v>0</v>
      </c>
      <c r="AN52" s="22" t="s">
        <v>245</v>
      </c>
      <c r="AO52" s="58">
        <v>0</v>
      </c>
      <c r="AP52" t="s">
        <v>233</v>
      </c>
      <c r="AQ52" t="s">
        <v>669</v>
      </c>
      <c r="AT52" t="s">
        <v>119</v>
      </c>
      <c r="AU52" t="s">
        <v>46</v>
      </c>
      <c r="AV52" t="s">
        <v>334</v>
      </c>
      <c r="AW52" t="s">
        <v>182</v>
      </c>
      <c r="AX52" t="s">
        <v>182</v>
      </c>
      <c r="AY52" t="s">
        <v>182</v>
      </c>
      <c r="AZ52" s="28"/>
      <c r="BA52" s="28"/>
      <c r="BB52"/>
    </row>
    <row r="53" spans="1:54" x14ac:dyDescent="0.6">
      <c r="A53" s="14" t="str">
        <f t="shared" si="1"/>
        <v>N</v>
      </c>
      <c r="B53" s="14" t="str">
        <f t="shared" si="2"/>
        <v>Y</v>
      </c>
      <c r="C53" t="s">
        <v>141</v>
      </c>
      <c r="D53" t="s">
        <v>63</v>
      </c>
      <c r="E53" t="s">
        <v>63</v>
      </c>
      <c r="F53" t="str">
        <f t="shared" si="3"/>
        <v>N_N</v>
      </c>
      <c r="G53" s="22">
        <v>27</v>
      </c>
      <c r="H53" t="s">
        <v>50</v>
      </c>
      <c r="I53" s="5">
        <v>44182</v>
      </c>
      <c r="J53" s="7">
        <v>0.58958333333333335</v>
      </c>
      <c r="K53" s="20">
        <v>11</v>
      </c>
      <c r="L53" s="20">
        <v>11</v>
      </c>
      <c r="M53" s="20">
        <v>18</v>
      </c>
      <c r="N53" t="s">
        <v>109</v>
      </c>
      <c r="O53" t="s">
        <v>143</v>
      </c>
      <c r="P53" s="22">
        <v>25</v>
      </c>
      <c r="Q53" t="s">
        <v>145</v>
      </c>
      <c r="R53" t="s">
        <v>192</v>
      </c>
      <c r="S53" s="56" t="s">
        <v>192</v>
      </c>
      <c r="T53">
        <f t="shared" si="4"/>
        <v>6</v>
      </c>
      <c r="U53" s="5">
        <v>44188</v>
      </c>
      <c r="V53" s="7">
        <v>0.48680555555555555</v>
      </c>
      <c r="W53" s="5">
        <v>44195</v>
      </c>
      <c r="X53" s="7">
        <v>0.42986111111111108</v>
      </c>
      <c r="Y53" s="22">
        <f t="shared" si="5"/>
        <v>7</v>
      </c>
      <c r="Z53" t="s">
        <v>221</v>
      </c>
      <c r="AA53" t="s">
        <v>221</v>
      </c>
      <c r="AB53">
        <v>2</v>
      </c>
      <c r="AC53" t="s">
        <v>46</v>
      </c>
      <c r="AD53" t="s">
        <v>352</v>
      </c>
      <c r="AE53" t="s">
        <v>244</v>
      </c>
      <c r="AF53" t="s">
        <v>47</v>
      </c>
      <c r="AG53" s="20">
        <v>9.5</v>
      </c>
      <c r="AH53" s="20">
        <v>7.5</v>
      </c>
      <c r="AI53" s="20">
        <v>2.5</v>
      </c>
      <c r="AJ53" s="22">
        <v>25</v>
      </c>
      <c r="AK53" s="22">
        <v>0</v>
      </c>
      <c r="AL53" s="22">
        <v>25</v>
      </c>
      <c r="AM53" s="74">
        <f t="shared" si="6"/>
        <v>0</v>
      </c>
      <c r="AN53" s="22" t="s">
        <v>245</v>
      </c>
      <c r="AO53" s="58">
        <v>0</v>
      </c>
      <c r="AP53" t="s">
        <v>233</v>
      </c>
      <c r="AQ53" t="s">
        <v>669</v>
      </c>
      <c r="AT53" t="s">
        <v>119</v>
      </c>
      <c r="AU53" t="s">
        <v>46</v>
      </c>
      <c r="AV53" t="s">
        <v>334</v>
      </c>
      <c r="AW53" t="s">
        <v>182</v>
      </c>
      <c r="AX53" t="s">
        <v>182</v>
      </c>
      <c r="AY53" t="s">
        <v>182</v>
      </c>
      <c r="AZ53" s="28"/>
      <c r="BA53" s="28"/>
      <c r="BB53"/>
    </row>
    <row r="54" spans="1:54" x14ac:dyDescent="0.6">
      <c r="A54" s="14" t="str">
        <f t="shared" si="1"/>
        <v>N</v>
      </c>
      <c r="B54" s="14" t="str">
        <f t="shared" si="2"/>
        <v>Y</v>
      </c>
      <c r="C54" t="s">
        <v>141</v>
      </c>
      <c r="D54" t="s">
        <v>63</v>
      </c>
      <c r="E54" t="s">
        <v>63</v>
      </c>
      <c r="F54" t="str">
        <f t="shared" si="3"/>
        <v>N_N</v>
      </c>
      <c r="G54" s="22">
        <v>28</v>
      </c>
      <c r="H54" s="11" t="s">
        <v>51</v>
      </c>
      <c r="I54" s="5">
        <v>44182</v>
      </c>
      <c r="J54" s="7">
        <v>0.58958333333333335</v>
      </c>
      <c r="K54" s="20">
        <v>11.5</v>
      </c>
      <c r="L54" s="20">
        <v>12</v>
      </c>
      <c r="M54" s="20">
        <v>18</v>
      </c>
      <c r="N54" t="s">
        <v>125</v>
      </c>
      <c r="O54" t="s">
        <v>144</v>
      </c>
      <c r="P54" s="22">
        <v>39</v>
      </c>
      <c r="Q54" t="s">
        <v>146</v>
      </c>
      <c r="R54" t="s">
        <v>193</v>
      </c>
      <c r="S54" t="s">
        <v>63</v>
      </c>
      <c r="T54">
        <f t="shared" si="4"/>
        <v>6</v>
      </c>
      <c r="U54" s="5">
        <v>44188</v>
      </c>
      <c r="V54" s="7">
        <v>0.58124999999999993</v>
      </c>
      <c r="W54" s="5">
        <v>44195</v>
      </c>
      <c r="X54" s="7">
        <v>0.43333333333333335</v>
      </c>
      <c r="Y54" s="22">
        <f t="shared" si="5"/>
        <v>7</v>
      </c>
      <c r="Z54" t="s">
        <v>222</v>
      </c>
      <c r="AA54" t="s">
        <v>222</v>
      </c>
      <c r="AB54">
        <v>1</v>
      </c>
      <c r="AC54" t="s">
        <v>117</v>
      </c>
      <c r="AD54" t="s">
        <v>117</v>
      </c>
      <c r="AE54" t="s">
        <v>242</v>
      </c>
      <c r="AF54" t="s">
        <v>120</v>
      </c>
      <c r="AG54" s="20">
        <v>8</v>
      </c>
      <c r="AH54" s="20">
        <v>5.5</v>
      </c>
      <c r="AI54" s="20">
        <v>2.5</v>
      </c>
      <c r="AJ54" s="22">
        <v>50</v>
      </c>
      <c r="AK54" s="22">
        <v>0</v>
      </c>
      <c r="AL54" s="22">
        <v>50</v>
      </c>
      <c r="AM54" s="74">
        <f t="shared" si="6"/>
        <v>0</v>
      </c>
      <c r="AN54" s="22" t="s">
        <v>245</v>
      </c>
      <c r="AO54" s="58">
        <v>0</v>
      </c>
      <c r="AP54" t="s">
        <v>233</v>
      </c>
      <c r="AQ54" t="s">
        <v>669</v>
      </c>
      <c r="AT54" t="s">
        <v>117</v>
      </c>
      <c r="AU54" t="s">
        <v>118</v>
      </c>
      <c r="AV54" t="s">
        <v>334</v>
      </c>
      <c r="AW54" t="s">
        <v>182</v>
      </c>
      <c r="AX54" t="s">
        <v>182</v>
      </c>
      <c r="AY54" t="s">
        <v>182</v>
      </c>
      <c r="AZ54" s="28"/>
      <c r="BA54" s="28"/>
      <c r="BB54"/>
    </row>
    <row r="55" spans="1:54" x14ac:dyDescent="0.6">
      <c r="A55" s="14" t="str">
        <f t="shared" si="1"/>
        <v>N</v>
      </c>
      <c r="B55" s="14" t="str">
        <f t="shared" si="2"/>
        <v>Y</v>
      </c>
      <c r="C55" t="s">
        <v>141</v>
      </c>
      <c r="D55" t="s">
        <v>63</v>
      </c>
      <c r="E55" t="s">
        <v>63</v>
      </c>
      <c r="F55" t="str">
        <f t="shared" si="3"/>
        <v>N_N</v>
      </c>
      <c r="G55" s="22">
        <v>28</v>
      </c>
      <c r="H55" t="s">
        <v>51</v>
      </c>
      <c r="I55" s="5">
        <v>44182</v>
      </c>
      <c r="J55" s="7">
        <v>0.58958333333333335</v>
      </c>
      <c r="K55" s="20">
        <v>11.5</v>
      </c>
      <c r="L55" s="20">
        <v>12</v>
      </c>
      <c r="M55" s="20">
        <v>18</v>
      </c>
      <c r="N55" t="s">
        <v>125</v>
      </c>
      <c r="O55" t="s">
        <v>144</v>
      </c>
      <c r="P55" s="22">
        <v>39</v>
      </c>
      <c r="Q55" t="s">
        <v>146</v>
      </c>
      <c r="R55" t="s">
        <v>193</v>
      </c>
      <c r="S55" t="s">
        <v>63</v>
      </c>
      <c r="T55">
        <f t="shared" si="4"/>
        <v>6</v>
      </c>
      <c r="U55" s="5">
        <v>44188</v>
      </c>
      <c r="V55" s="7">
        <v>0.58124999999999993</v>
      </c>
      <c r="W55" s="5">
        <v>44195</v>
      </c>
      <c r="X55" s="7">
        <v>0.43333333333333335</v>
      </c>
      <c r="Y55" s="22">
        <f t="shared" si="5"/>
        <v>7</v>
      </c>
      <c r="Z55" t="s">
        <v>222</v>
      </c>
      <c r="AA55" t="s">
        <v>222</v>
      </c>
      <c r="AB55">
        <v>2</v>
      </c>
      <c r="AC55" t="s">
        <v>118</v>
      </c>
      <c r="AD55" t="s">
        <v>118</v>
      </c>
      <c r="AE55" t="s">
        <v>244</v>
      </c>
      <c r="AF55" t="s">
        <v>121</v>
      </c>
      <c r="AG55" s="20">
        <v>9.5</v>
      </c>
      <c r="AH55" s="20">
        <v>5</v>
      </c>
      <c r="AI55" s="20">
        <v>11.5</v>
      </c>
      <c r="AJ55" s="22">
        <v>50</v>
      </c>
      <c r="AK55" s="22">
        <v>0</v>
      </c>
      <c r="AL55" s="22">
        <v>50</v>
      </c>
      <c r="AM55" s="74">
        <f t="shared" si="6"/>
        <v>0</v>
      </c>
      <c r="AN55" s="22" t="s">
        <v>245</v>
      </c>
      <c r="AO55" s="58">
        <v>0</v>
      </c>
      <c r="AP55" t="s">
        <v>233</v>
      </c>
      <c r="AQ55" t="s">
        <v>669</v>
      </c>
      <c r="AT55" t="s">
        <v>117</v>
      </c>
      <c r="AU55" t="s">
        <v>118</v>
      </c>
      <c r="AV55" t="s">
        <v>334</v>
      </c>
      <c r="AW55" t="s">
        <v>182</v>
      </c>
      <c r="AX55" t="s">
        <v>182</v>
      </c>
      <c r="AY55" t="s">
        <v>182</v>
      </c>
      <c r="AZ55" s="28"/>
      <c r="BA55" s="28"/>
      <c r="BB55"/>
    </row>
    <row r="56" spans="1:54" x14ac:dyDescent="0.6">
      <c r="A56" s="14" t="str">
        <f t="shared" si="1"/>
        <v>N</v>
      </c>
      <c r="B56" s="14" t="str">
        <f t="shared" si="2"/>
        <v>Y</v>
      </c>
      <c r="C56" t="s">
        <v>141</v>
      </c>
      <c r="D56" t="s">
        <v>63</v>
      </c>
      <c r="E56" t="s">
        <v>63</v>
      </c>
      <c r="F56" t="str">
        <f t="shared" si="3"/>
        <v>N_N</v>
      </c>
      <c r="G56" s="22">
        <v>29</v>
      </c>
      <c r="H56" t="s">
        <v>52</v>
      </c>
      <c r="I56" s="5">
        <v>44182</v>
      </c>
      <c r="J56" s="7">
        <v>0.58958333333333335</v>
      </c>
      <c r="K56" s="20">
        <v>12.5</v>
      </c>
      <c r="L56" s="20">
        <v>12.5</v>
      </c>
      <c r="M56" s="20">
        <v>18</v>
      </c>
      <c r="N56" t="s">
        <v>125</v>
      </c>
      <c r="O56" t="s">
        <v>144</v>
      </c>
      <c r="P56" s="22">
        <v>39</v>
      </c>
      <c r="Q56" t="s">
        <v>79</v>
      </c>
      <c r="R56" t="s">
        <v>194</v>
      </c>
      <c r="S56" t="s">
        <v>63</v>
      </c>
      <c r="T56">
        <f t="shared" si="4"/>
        <v>6</v>
      </c>
      <c r="U56" s="5">
        <v>44188</v>
      </c>
      <c r="V56" s="7">
        <v>0.58958333333333335</v>
      </c>
      <c r="W56" s="5">
        <v>44195</v>
      </c>
      <c r="X56" s="7">
        <v>0.43055555555555558</v>
      </c>
      <c r="Y56" s="22">
        <f t="shared" si="5"/>
        <v>7</v>
      </c>
      <c r="Z56" t="s">
        <v>223</v>
      </c>
      <c r="AA56" t="s">
        <v>223</v>
      </c>
      <c r="AB56">
        <v>1</v>
      </c>
      <c r="AC56" t="s">
        <v>117</v>
      </c>
      <c r="AD56" t="s">
        <v>117</v>
      </c>
      <c r="AE56" t="s">
        <v>242</v>
      </c>
      <c r="AF56" t="s">
        <v>120</v>
      </c>
      <c r="AG56" s="20">
        <v>12</v>
      </c>
      <c r="AH56" s="20">
        <v>10</v>
      </c>
      <c r="AI56" s="20">
        <v>5.5</v>
      </c>
      <c r="AJ56" s="22">
        <v>50</v>
      </c>
      <c r="AK56" s="22">
        <v>0</v>
      </c>
      <c r="AL56" s="22">
        <v>0</v>
      </c>
      <c r="AM56" s="77">
        <f t="shared" si="6"/>
        <v>1</v>
      </c>
      <c r="AN56" s="22" t="s">
        <v>246</v>
      </c>
      <c r="AO56" s="58">
        <v>2</v>
      </c>
      <c r="AP56" t="s">
        <v>234</v>
      </c>
      <c r="AQ56" t="s">
        <v>668</v>
      </c>
      <c r="AR56" t="s">
        <v>117</v>
      </c>
      <c r="AS56" t="s">
        <v>46</v>
      </c>
      <c r="AV56" t="s">
        <v>338</v>
      </c>
      <c r="AW56" t="s">
        <v>182</v>
      </c>
      <c r="AX56" t="s">
        <v>182</v>
      </c>
      <c r="AY56" t="s">
        <v>182</v>
      </c>
      <c r="AZ56" s="28"/>
      <c r="BA56" s="28"/>
      <c r="BB56"/>
    </row>
    <row r="57" spans="1:54" x14ac:dyDescent="0.6">
      <c r="A57" s="14" t="str">
        <f t="shared" si="1"/>
        <v>N</v>
      </c>
      <c r="B57" s="14" t="str">
        <f t="shared" si="2"/>
        <v>Y</v>
      </c>
      <c r="C57" t="s">
        <v>141</v>
      </c>
      <c r="D57" t="s">
        <v>63</v>
      </c>
      <c r="E57" t="s">
        <v>63</v>
      </c>
      <c r="F57" t="str">
        <f t="shared" si="3"/>
        <v>N_N</v>
      </c>
      <c r="G57" s="22">
        <v>29</v>
      </c>
      <c r="H57" t="s">
        <v>52</v>
      </c>
      <c r="I57" s="5">
        <v>44182</v>
      </c>
      <c r="J57" s="7">
        <v>0.58958333333333335</v>
      </c>
      <c r="K57" s="20">
        <v>12.5</v>
      </c>
      <c r="L57" s="20">
        <v>12.5</v>
      </c>
      <c r="M57" s="20">
        <v>18</v>
      </c>
      <c r="N57" t="s">
        <v>125</v>
      </c>
      <c r="O57" t="s">
        <v>144</v>
      </c>
      <c r="P57" s="22">
        <v>39</v>
      </c>
      <c r="Q57" t="s">
        <v>79</v>
      </c>
      <c r="R57" t="s">
        <v>194</v>
      </c>
      <c r="S57" t="s">
        <v>63</v>
      </c>
      <c r="T57">
        <f t="shared" si="4"/>
        <v>6</v>
      </c>
      <c r="U57" s="5">
        <v>44188</v>
      </c>
      <c r="V57" s="7">
        <v>0.58958333333333335</v>
      </c>
      <c r="W57" s="5">
        <v>44195</v>
      </c>
      <c r="X57" s="7">
        <v>0.43055555555555558</v>
      </c>
      <c r="Y57" s="22">
        <f t="shared" si="5"/>
        <v>7</v>
      </c>
      <c r="Z57" t="s">
        <v>223</v>
      </c>
      <c r="AA57" t="s">
        <v>223</v>
      </c>
      <c r="AB57">
        <v>2</v>
      </c>
      <c r="AC57" t="s">
        <v>46</v>
      </c>
      <c r="AD57" t="s">
        <v>352</v>
      </c>
      <c r="AE57" t="s">
        <v>244</v>
      </c>
      <c r="AF57" t="s">
        <v>47</v>
      </c>
      <c r="AG57" s="20">
        <v>10.5</v>
      </c>
      <c r="AH57" s="20">
        <v>10.5</v>
      </c>
      <c r="AI57" s="20">
        <v>5.5</v>
      </c>
      <c r="AJ57" s="22">
        <v>35</v>
      </c>
      <c r="AK57" s="22">
        <v>0</v>
      </c>
      <c r="AL57" s="22">
        <v>10</v>
      </c>
      <c r="AM57" s="74">
        <f t="shared" si="6"/>
        <v>0.7142857142857143</v>
      </c>
      <c r="AN57" s="22" t="s">
        <v>247</v>
      </c>
      <c r="AO57" s="58">
        <v>1</v>
      </c>
      <c r="AP57" t="s">
        <v>234</v>
      </c>
      <c r="AQ57" t="s">
        <v>668</v>
      </c>
      <c r="AR57" t="s">
        <v>117</v>
      </c>
      <c r="AS57" t="s">
        <v>46</v>
      </c>
      <c r="AV57" t="s">
        <v>338</v>
      </c>
      <c r="AW57" t="s">
        <v>182</v>
      </c>
      <c r="AX57" t="s">
        <v>182</v>
      </c>
      <c r="AY57" t="s">
        <v>182</v>
      </c>
      <c r="AZ57" s="28"/>
      <c r="BA57" s="28"/>
      <c r="BB57"/>
    </row>
    <row r="58" spans="1:54" x14ac:dyDescent="0.6">
      <c r="A58" s="14" t="str">
        <f t="shared" si="1"/>
        <v>N</v>
      </c>
      <c r="B58" s="14" t="str">
        <f t="shared" si="2"/>
        <v>Y</v>
      </c>
      <c r="C58" t="s">
        <v>141</v>
      </c>
      <c r="D58" t="s">
        <v>63</v>
      </c>
      <c r="E58" t="s">
        <v>63</v>
      </c>
      <c r="F58" t="str">
        <f t="shared" si="3"/>
        <v>N_N</v>
      </c>
      <c r="G58" s="22">
        <v>30</v>
      </c>
      <c r="H58" t="s">
        <v>53</v>
      </c>
      <c r="I58" s="5">
        <v>44182</v>
      </c>
      <c r="J58" s="7">
        <v>0.58958333333333335</v>
      </c>
      <c r="K58" s="20">
        <v>13</v>
      </c>
      <c r="L58" s="20">
        <v>13</v>
      </c>
      <c r="M58" s="20">
        <v>19</v>
      </c>
      <c r="N58" t="s">
        <v>109</v>
      </c>
      <c r="O58" t="s">
        <v>142</v>
      </c>
      <c r="P58" s="22">
        <v>25</v>
      </c>
      <c r="Q58" t="s">
        <v>147</v>
      </c>
      <c r="R58" t="s">
        <v>195</v>
      </c>
      <c r="S58" t="s">
        <v>63</v>
      </c>
      <c r="T58">
        <f t="shared" si="4"/>
        <v>6</v>
      </c>
      <c r="U58" s="5">
        <v>44188</v>
      </c>
      <c r="V58" s="7">
        <v>0.59722222222222221</v>
      </c>
      <c r="W58" s="5">
        <v>44195</v>
      </c>
      <c r="X58" s="7">
        <v>0.42708333333333331</v>
      </c>
      <c r="Y58" s="22">
        <f t="shared" si="5"/>
        <v>7</v>
      </c>
      <c r="Z58" t="s">
        <v>221</v>
      </c>
      <c r="AA58" t="s">
        <v>221</v>
      </c>
      <c r="AB58">
        <v>1</v>
      </c>
      <c r="AC58" t="s">
        <v>119</v>
      </c>
      <c r="AD58" t="s">
        <v>119</v>
      </c>
      <c r="AE58" t="s">
        <v>242</v>
      </c>
      <c r="AF58" t="s">
        <v>120</v>
      </c>
      <c r="AG58" s="20">
        <v>16</v>
      </c>
      <c r="AH58" s="20">
        <v>8.5</v>
      </c>
      <c r="AI58" s="20">
        <v>5</v>
      </c>
      <c r="AJ58" s="22">
        <v>15</v>
      </c>
      <c r="AK58" s="22">
        <v>0</v>
      </c>
      <c r="AL58" s="22">
        <v>15</v>
      </c>
      <c r="AM58" s="77">
        <f t="shared" si="6"/>
        <v>0</v>
      </c>
      <c r="AN58" s="22" t="s">
        <v>245</v>
      </c>
      <c r="AO58" s="58">
        <v>0</v>
      </c>
      <c r="AP58" t="s">
        <v>233</v>
      </c>
      <c r="AQ58" t="s">
        <v>669</v>
      </c>
      <c r="AT58" t="s">
        <v>119</v>
      </c>
      <c r="AU58" t="s">
        <v>46</v>
      </c>
      <c r="AV58" t="s">
        <v>334</v>
      </c>
      <c r="AW58" t="s">
        <v>182</v>
      </c>
      <c r="AX58" t="s">
        <v>182</v>
      </c>
      <c r="AY58" t="s">
        <v>182</v>
      </c>
      <c r="AZ58" s="28"/>
      <c r="BA58" s="28"/>
      <c r="BB58"/>
    </row>
    <row r="59" spans="1:54" x14ac:dyDescent="0.6">
      <c r="A59" s="14" t="str">
        <f t="shared" si="1"/>
        <v>N</v>
      </c>
      <c r="B59" s="14" t="str">
        <f t="shared" si="2"/>
        <v>Y</v>
      </c>
      <c r="C59" t="s">
        <v>141</v>
      </c>
      <c r="D59" t="s">
        <v>63</v>
      </c>
      <c r="E59" t="s">
        <v>63</v>
      </c>
      <c r="F59" t="str">
        <f t="shared" si="3"/>
        <v>N_N</v>
      </c>
      <c r="G59" s="22">
        <v>30</v>
      </c>
      <c r="H59" t="s">
        <v>53</v>
      </c>
      <c r="I59" s="5">
        <v>44182</v>
      </c>
      <c r="J59" s="7">
        <v>0.58958333333333335</v>
      </c>
      <c r="K59" s="20">
        <v>13</v>
      </c>
      <c r="L59" s="20">
        <v>13</v>
      </c>
      <c r="M59" s="20">
        <v>19</v>
      </c>
      <c r="N59" t="s">
        <v>109</v>
      </c>
      <c r="O59" t="s">
        <v>142</v>
      </c>
      <c r="P59" s="22">
        <v>25</v>
      </c>
      <c r="Q59" t="s">
        <v>147</v>
      </c>
      <c r="R59" t="s">
        <v>195</v>
      </c>
      <c r="S59" t="s">
        <v>63</v>
      </c>
      <c r="T59">
        <f t="shared" si="4"/>
        <v>6</v>
      </c>
      <c r="U59" s="5">
        <v>44188</v>
      </c>
      <c r="V59" s="7">
        <v>0.59722222222222221</v>
      </c>
      <c r="W59" s="5">
        <v>44195</v>
      </c>
      <c r="X59" s="7">
        <v>0.42708333333333331</v>
      </c>
      <c r="Y59" s="22">
        <f t="shared" si="5"/>
        <v>7</v>
      </c>
      <c r="Z59" t="s">
        <v>221</v>
      </c>
      <c r="AA59" t="s">
        <v>221</v>
      </c>
      <c r="AB59">
        <v>2</v>
      </c>
      <c r="AC59" t="s">
        <v>46</v>
      </c>
      <c r="AD59" t="s">
        <v>352</v>
      </c>
      <c r="AE59" t="s">
        <v>244</v>
      </c>
      <c r="AF59" t="s">
        <v>47</v>
      </c>
      <c r="AG59" s="20">
        <v>6.5</v>
      </c>
      <c r="AH59" s="20">
        <v>6.5</v>
      </c>
      <c r="AI59" s="20">
        <v>2</v>
      </c>
      <c r="AJ59" s="22">
        <v>50</v>
      </c>
      <c r="AK59" s="22">
        <v>0</v>
      </c>
      <c r="AL59" s="22">
        <v>50</v>
      </c>
      <c r="AM59" s="74">
        <f t="shared" si="6"/>
        <v>0</v>
      </c>
      <c r="AN59" s="22" t="s">
        <v>245</v>
      </c>
      <c r="AO59" s="58">
        <v>0</v>
      </c>
      <c r="AP59" t="s">
        <v>233</v>
      </c>
      <c r="AQ59" t="s">
        <v>669</v>
      </c>
      <c r="AT59" t="s">
        <v>119</v>
      </c>
      <c r="AU59" t="s">
        <v>46</v>
      </c>
      <c r="AV59" t="s">
        <v>334</v>
      </c>
      <c r="AW59" t="s">
        <v>182</v>
      </c>
      <c r="AX59" t="s">
        <v>182</v>
      </c>
      <c r="AY59" t="s">
        <v>182</v>
      </c>
      <c r="AZ59" s="28"/>
      <c r="BA59" s="28"/>
      <c r="BB59"/>
    </row>
    <row r="60" spans="1:54" x14ac:dyDescent="0.6">
      <c r="A60" s="14" t="str">
        <f t="shared" si="1"/>
        <v>Y</v>
      </c>
      <c r="B60" s="14" t="str">
        <f t="shared" si="2"/>
        <v>Y</v>
      </c>
      <c r="C60" t="s">
        <v>141</v>
      </c>
      <c r="D60" t="s">
        <v>63</v>
      </c>
      <c r="E60" t="s">
        <v>63</v>
      </c>
      <c r="F60" t="str">
        <f t="shared" si="3"/>
        <v>N_N</v>
      </c>
      <c r="G60" s="22">
        <v>31</v>
      </c>
      <c r="H60" t="s">
        <v>49</v>
      </c>
      <c r="I60" s="5">
        <v>44194</v>
      </c>
      <c r="J60" s="7">
        <v>0.46597222222222223</v>
      </c>
      <c r="K60" s="20">
        <v>12</v>
      </c>
      <c r="L60" s="20">
        <v>11.5</v>
      </c>
      <c r="M60" s="20">
        <v>18</v>
      </c>
      <c r="N60" t="s">
        <v>71</v>
      </c>
      <c r="O60" t="s">
        <v>153</v>
      </c>
      <c r="P60" s="22">
        <v>46</v>
      </c>
      <c r="Q60" t="s">
        <v>156</v>
      </c>
      <c r="R60" t="s">
        <v>196</v>
      </c>
      <c r="S60" t="s">
        <v>63</v>
      </c>
      <c r="T60">
        <f t="shared" si="4"/>
        <v>7</v>
      </c>
      <c r="U60" s="5">
        <v>44201</v>
      </c>
      <c r="V60" s="7">
        <v>0.46319444444444446</v>
      </c>
      <c r="W60" s="5">
        <v>44208</v>
      </c>
      <c r="X60" s="7">
        <v>0.48333333333333334</v>
      </c>
      <c r="Y60" s="22">
        <f t="shared" si="5"/>
        <v>7</v>
      </c>
      <c r="Z60" t="s">
        <v>215</v>
      </c>
      <c r="AA60" t="s">
        <v>215</v>
      </c>
      <c r="AB60">
        <v>1</v>
      </c>
      <c r="AC60" t="s">
        <v>98</v>
      </c>
      <c r="AD60" t="s">
        <v>98</v>
      </c>
      <c r="AE60" t="s">
        <v>242</v>
      </c>
      <c r="AF60" t="s">
        <v>97</v>
      </c>
      <c r="AG60" s="20">
        <v>13</v>
      </c>
      <c r="AH60" s="20">
        <v>7</v>
      </c>
      <c r="AI60" s="20">
        <v>4</v>
      </c>
      <c r="AJ60" s="22">
        <v>100</v>
      </c>
      <c r="AK60" s="22">
        <v>0</v>
      </c>
      <c r="AL60" s="22">
        <v>100</v>
      </c>
      <c r="AM60" s="77">
        <f t="shared" si="6"/>
        <v>0</v>
      </c>
      <c r="AN60" s="22" t="s">
        <v>245</v>
      </c>
      <c r="AO60" s="58">
        <v>0</v>
      </c>
      <c r="AP60" t="s">
        <v>233</v>
      </c>
      <c r="AQ60" t="s">
        <v>667</v>
      </c>
      <c r="AR60" t="s">
        <v>66</v>
      </c>
      <c r="AT60" t="s">
        <v>98</v>
      </c>
      <c r="AV60" t="s">
        <v>335</v>
      </c>
      <c r="AW60" t="s">
        <v>182</v>
      </c>
      <c r="AX60" t="s">
        <v>182</v>
      </c>
      <c r="AY60" t="s">
        <v>182</v>
      </c>
      <c r="AZ60" s="28"/>
      <c r="BA60" s="28"/>
      <c r="BB60"/>
    </row>
    <row r="61" spans="1:54" x14ac:dyDescent="0.6">
      <c r="A61" s="14" t="str">
        <f t="shared" si="1"/>
        <v>Y</v>
      </c>
      <c r="B61" s="14" t="str">
        <f t="shared" si="2"/>
        <v>Y</v>
      </c>
      <c r="C61" t="s">
        <v>141</v>
      </c>
      <c r="D61" t="s">
        <v>63</v>
      </c>
      <c r="E61" t="s">
        <v>63</v>
      </c>
      <c r="F61" t="str">
        <f t="shared" si="3"/>
        <v>N_N</v>
      </c>
      <c r="G61" s="22">
        <v>31</v>
      </c>
      <c r="H61" t="s">
        <v>49</v>
      </c>
      <c r="I61" s="5">
        <v>44194</v>
      </c>
      <c r="J61" s="7">
        <v>0.46597222222222223</v>
      </c>
      <c r="K61" s="20">
        <v>12</v>
      </c>
      <c r="L61" s="20">
        <v>11.5</v>
      </c>
      <c r="M61" s="20">
        <v>18</v>
      </c>
      <c r="N61" t="s">
        <v>71</v>
      </c>
      <c r="O61" t="s">
        <v>153</v>
      </c>
      <c r="P61" s="22">
        <v>46</v>
      </c>
      <c r="Q61" t="s">
        <v>156</v>
      </c>
      <c r="R61" t="s">
        <v>196</v>
      </c>
      <c r="S61" t="s">
        <v>63</v>
      </c>
      <c r="T61">
        <f t="shared" si="4"/>
        <v>7</v>
      </c>
      <c r="U61" s="5">
        <v>44201</v>
      </c>
      <c r="V61" s="7">
        <v>0.46319444444444446</v>
      </c>
      <c r="W61" s="5">
        <v>44208</v>
      </c>
      <c r="X61" s="7">
        <v>0.48333333333333334</v>
      </c>
      <c r="Y61" s="22">
        <f t="shared" si="5"/>
        <v>7</v>
      </c>
      <c r="Z61" t="s">
        <v>215</v>
      </c>
      <c r="AA61" t="s">
        <v>215</v>
      </c>
      <c r="AB61">
        <v>2</v>
      </c>
      <c r="AC61" t="s">
        <v>66</v>
      </c>
      <c r="AD61" t="s">
        <v>351</v>
      </c>
      <c r="AE61" t="s">
        <v>244</v>
      </c>
      <c r="AF61" t="s">
        <v>67</v>
      </c>
      <c r="AG61" s="20">
        <v>13</v>
      </c>
      <c r="AH61" s="20">
        <v>9</v>
      </c>
      <c r="AI61" s="20">
        <v>12</v>
      </c>
      <c r="AJ61" s="22">
        <v>40</v>
      </c>
      <c r="AK61" s="22">
        <v>1</v>
      </c>
      <c r="AL61" s="22">
        <v>0</v>
      </c>
      <c r="AM61" s="77">
        <f t="shared" si="6"/>
        <v>1</v>
      </c>
      <c r="AN61" s="22" t="s">
        <v>246</v>
      </c>
      <c r="AO61" s="58">
        <v>2</v>
      </c>
      <c r="AP61" t="s">
        <v>234</v>
      </c>
      <c r="AQ61" t="s">
        <v>667</v>
      </c>
      <c r="AR61" t="s">
        <v>66</v>
      </c>
      <c r="AT61" t="s">
        <v>98</v>
      </c>
      <c r="AV61" t="s">
        <v>335</v>
      </c>
      <c r="AW61" t="s">
        <v>182</v>
      </c>
      <c r="AX61" t="s">
        <v>182</v>
      </c>
      <c r="AY61" t="s">
        <v>182</v>
      </c>
      <c r="AZ61" s="28"/>
      <c r="BA61" s="28"/>
      <c r="BB61"/>
    </row>
    <row r="62" spans="1:54" x14ac:dyDescent="0.6">
      <c r="A62" s="14" t="str">
        <f t="shared" si="1"/>
        <v>Y</v>
      </c>
      <c r="B62" s="14" t="str">
        <f t="shared" si="2"/>
        <v>Y</v>
      </c>
      <c r="C62" t="s">
        <v>141</v>
      </c>
      <c r="D62" t="s">
        <v>63</v>
      </c>
      <c r="E62" t="s">
        <v>63</v>
      </c>
      <c r="F62" t="str">
        <f t="shared" si="3"/>
        <v>N_N</v>
      </c>
      <c r="G62" s="22">
        <v>32</v>
      </c>
      <c r="H62" t="s">
        <v>50</v>
      </c>
      <c r="I62" s="5">
        <v>44194</v>
      </c>
      <c r="J62" s="7">
        <v>0.50347222222222221</v>
      </c>
      <c r="K62" s="20">
        <v>13</v>
      </c>
      <c r="L62" s="20">
        <v>12.5</v>
      </c>
      <c r="M62" s="20">
        <v>19</v>
      </c>
      <c r="N62" t="s">
        <v>88</v>
      </c>
      <c r="O62" t="s">
        <v>154</v>
      </c>
      <c r="P62" s="22">
        <v>34</v>
      </c>
      <c r="Q62" t="s">
        <v>56</v>
      </c>
      <c r="R62" t="s">
        <v>197</v>
      </c>
      <c r="S62" t="s">
        <v>63</v>
      </c>
      <c r="T62">
        <f t="shared" si="4"/>
        <v>7</v>
      </c>
      <c r="U62" s="5">
        <v>44201</v>
      </c>
      <c r="V62" s="7">
        <v>0.46736111111111112</v>
      </c>
      <c r="W62" s="5">
        <v>44208</v>
      </c>
      <c r="X62" s="7">
        <v>0.48541666666666666</v>
      </c>
      <c r="Y62" s="22">
        <f t="shared" si="5"/>
        <v>7</v>
      </c>
      <c r="Z62" t="s">
        <v>215</v>
      </c>
      <c r="AA62" t="s">
        <v>215</v>
      </c>
      <c r="AB62">
        <v>1</v>
      </c>
      <c r="AC62" t="s">
        <v>98</v>
      </c>
      <c r="AD62" t="s">
        <v>98</v>
      </c>
      <c r="AE62" t="s">
        <v>244</v>
      </c>
      <c r="AF62" t="s">
        <v>97</v>
      </c>
      <c r="AG62" s="20">
        <v>9</v>
      </c>
      <c r="AH62" s="20">
        <v>6.5</v>
      </c>
      <c r="AI62" s="20">
        <v>2</v>
      </c>
      <c r="AJ62" s="22">
        <v>90</v>
      </c>
      <c r="AK62" s="22">
        <v>0</v>
      </c>
      <c r="AL62" s="22">
        <v>90</v>
      </c>
      <c r="AM62" s="77">
        <f t="shared" si="6"/>
        <v>0</v>
      </c>
      <c r="AN62" s="22" t="s">
        <v>245</v>
      </c>
      <c r="AO62" s="58">
        <v>0</v>
      </c>
      <c r="AP62" t="s">
        <v>233</v>
      </c>
      <c r="AQ62" t="s">
        <v>667</v>
      </c>
      <c r="AR62" t="s">
        <v>66</v>
      </c>
      <c r="AT62" t="s">
        <v>98</v>
      </c>
      <c r="AV62" t="s">
        <v>335</v>
      </c>
      <c r="AW62" t="s">
        <v>182</v>
      </c>
      <c r="AX62" t="s">
        <v>182</v>
      </c>
      <c r="AY62" t="s">
        <v>182</v>
      </c>
      <c r="AZ62" s="28"/>
      <c r="BA62" s="28"/>
      <c r="BB62"/>
    </row>
    <row r="63" spans="1:54" x14ac:dyDescent="0.6">
      <c r="A63" s="14" t="str">
        <f t="shared" si="1"/>
        <v>Y</v>
      </c>
      <c r="B63" s="14" t="str">
        <f t="shared" si="2"/>
        <v>Y</v>
      </c>
      <c r="C63" t="s">
        <v>141</v>
      </c>
      <c r="D63" t="s">
        <v>63</v>
      </c>
      <c r="E63" t="s">
        <v>63</v>
      </c>
      <c r="F63" t="str">
        <f t="shared" si="3"/>
        <v>N_N</v>
      </c>
      <c r="G63" s="22">
        <v>32</v>
      </c>
      <c r="H63" t="s">
        <v>50</v>
      </c>
      <c r="I63" s="5">
        <v>44194</v>
      </c>
      <c r="J63" s="7">
        <v>0.50347222222222221</v>
      </c>
      <c r="K63" s="20">
        <v>13</v>
      </c>
      <c r="L63" s="20">
        <v>12.5</v>
      </c>
      <c r="M63" s="20">
        <v>19</v>
      </c>
      <c r="N63" t="s">
        <v>88</v>
      </c>
      <c r="O63" t="s">
        <v>154</v>
      </c>
      <c r="P63" s="22">
        <v>34</v>
      </c>
      <c r="Q63" t="s">
        <v>56</v>
      </c>
      <c r="R63" t="s">
        <v>197</v>
      </c>
      <c r="S63" t="s">
        <v>63</v>
      </c>
      <c r="T63">
        <f t="shared" si="4"/>
        <v>7</v>
      </c>
      <c r="U63" s="5">
        <v>44201</v>
      </c>
      <c r="V63" s="7">
        <v>0.46736111111111112</v>
      </c>
      <c r="W63" s="5">
        <v>44208</v>
      </c>
      <c r="X63" s="7">
        <v>0.48541666666666666</v>
      </c>
      <c r="Y63" s="22">
        <f t="shared" si="5"/>
        <v>7</v>
      </c>
      <c r="Z63" t="s">
        <v>215</v>
      </c>
      <c r="AA63" t="s">
        <v>215</v>
      </c>
      <c r="AB63">
        <v>2</v>
      </c>
      <c r="AC63" t="s">
        <v>66</v>
      </c>
      <c r="AD63" t="s">
        <v>351</v>
      </c>
      <c r="AE63" t="s">
        <v>242</v>
      </c>
      <c r="AF63" t="s">
        <v>67</v>
      </c>
      <c r="AG63" s="20">
        <v>9</v>
      </c>
      <c r="AH63" s="20">
        <v>7</v>
      </c>
      <c r="AI63" s="20">
        <v>8</v>
      </c>
      <c r="AJ63" s="22">
        <v>85</v>
      </c>
      <c r="AK63" s="22">
        <v>0</v>
      </c>
      <c r="AL63" s="22">
        <v>0</v>
      </c>
      <c r="AM63" s="77">
        <f t="shared" si="6"/>
        <v>1</v>
      </c>
      <c r="AN63" s="22" t="s">
        <v>246</v>
      </c>
      <c r="AO63" s="58">
        <v>2</v>
      </c>
      <c r="AP63" t="s">
        <v>234</v>
      </c>
      <c r="AQ63" t="s">
        <v>667</v>
      </c>
      <c r="AR63" t="s">
        <v>66</v>
      </c>
      <c r="AT63" t="s">
        <v>98</v>
      </c>
      <c r="AV63" t="s">
        <v>335</v>
      </c>
      <c r="AW63" t="s">
        <v>182</v>
      </c>
      <c r="AX63" t="s">
        <v>182</v>
      </c>
      <c r="AY63" t="s">
        <v>182</v>
      </c>
      <c r="AZ63" s="28"/>
      <c r="BA63" s="28"/>
      <c r="BB63"/>
    </row>
    <row r="64" spans="1:54" x14ac:dyDescent="0.6">
      <c r="A64" s="14" t="str">
        <f t="shared" si="1"/>
        <v>Y</v>
      </c>
      <c r="B64" s="14" t="str">
        <f t="shared" si="2"/>
        <v>Y</v>
      </c>
      <c r="C64" t="s">
        <v>141</v>
      </c>
      <c r="D64" t="s">
        <v>63</v>
      </c>
      <c r="E64" t="s">
        <v>63</v>
      </c>
      <c r="F64" t="str">
        <f t="shared" si="3"/>
        <v>N_N</v>
      </c>
      <c r="G64" s="22">
        <v>33</v>
      </c>
      <c r="H64" s="11" t="s">
        <v>51</v>
      </c>
      <c r="I64" s="5">
        <v>44194</v>
      </c>
      <c r="J64" s="7">
        <v>0.50347222222222221</v>
      </c>
      <c r="K64" s="20">
        <v>11</v>
      </c>
      <c r="L64" s="20">
        <v>11</v>
      </c>
      <c r="M64" s="20">
        <v>18</v>
      </c>
      <c r="N64" t="s">
        <v>71</v>
      </c>
      <c r="O64" t="s">
        <v>155</v>
      </c>
      <c r="P64" s="22">
        <v>44</v>
      </c>
      <c r="Q64" t="s">
        <v>79</v>
      </c>
      <c r="R64" t="s">
        <v>198</v>
      </c>
      <c r="S64" t="s">
        <v>63</v>
      </c>
      <c r="T64">
        <f t="shared" si="4"/>
        <v>7</v>
      </c>
      <c r="U64" s="5">
        <v>44201</v>
      </c>
      <c r="V64" s="7">
        <v>0.47222222222222227</v>
      </c>
      <c r="W64" s="5">
        <v>44208</v>
      </c>
      <c r="X64" s="7">
        <v>0.48749999999999999</v>
      </c>
      <c r="Y64" s="22">
        <f t="shared" si="5"/>
        <v>7</v>
      </c>
      <c r="Z64" t="s">
        <v>224</v>
      </c>
      <c r="AA64" t="s">
        <v>218</v>
      </c>
      <c r="AB64">
        <v>1</v>
      </c>
      <c r="AC64" t="s">
        <v>119</v>
      </c>
      <c r="AD64" t="s">
        <v>119</v>
      </c>
      <c r="AE64" t="s">
        <v>242</v>
      </c>
      <c r="AF64" t="s">
        <v>120</v>
      </c>
      <c r="AG64" s="20">
        <v>15.5</v>
      </c>
      <c r="AH64" s="20">
        <v>10.5</v>
      </c>
      <c r="AI64" s="20">
        <v>6.5</v>
      </c>
      <c r="AJ64" s="22">
        <v>25</v>
      </c>
      <c r="AK64" s="22">
        <v>0</v>
      </c>
      <c r="AL64" s="22">
        <v>25</v>
      </c>
      <c r="AM64" s="77">
        <f t="shared" si="6"/>
        <v>0</v>
      </c>
      <c r="AN64" s="22" t="s">
        <v>245</v>
      </c>
      <c r="AO64" s="58">
        <v>0</v>
      </c>
      <c r="AP64" t="s">
        <v>233</v>
      </c>
      <c r="AQ64" t="s">
        <v>667</v>
      </c>
      <c r="AR64" t="s">
        <v>132</v>
      </c>
      <c r="AT64" t="s">
        <v>119</v>
      </c>
      <c r="AV64" t="s">
        <v>335</v>
      </c>
      <c r="AW64" t="s">
        <v>182</v>
      </c>
      <c r="AX64" t="s">
        <v>182</v>
      </c>
      <c r="AY64" t="s">
        <v>182</v>
      </c>
      <c r="AZ64" s="28"/>
      <c r="BA64" s="28"/>
      <c r="BB64" t="s">
        <v>158</v>
      </c>
    </row>
    <row r="65" spans="1:54" x14ac:dyDescent="0.6">
      <c r="A65" s="14" t="str">
        <f t="shared" si="1"/>
        <v>Y</v>
      </c>
      <c r="B65" s="14" t="str">
        <f t="shared" si="2"/>
        <v>Y</v>
      </c>
      <c r="C65" t="s">
        <v>141</v>
      </c>
      <c r="D65" t="s">
        <v>63</v>
      </c>
      <c r="E65" t="s">
        <v>63</v>
      </c>
      <c r="F65" t="str">
        <f t="shared" si="3"/>
        <v>N_N</v>
      </c>
      <c r="G65" s="22">
        <v>33</v>
      </c>
      <c r="H65" t="s">
        <v>51</v>
      </c>
      <c r="I65" s="5">
        <v>44194</v>
      </c>
      <c r="J65" s="7">
        <v>0.50347222222222221</v>
      </c>
      <c r="K65" s="20">
        <v>11</v>
      </c>
      <c r="L65" s="20">
        <v>11</v>
      </c>
      <c r="M65" s="20">
        <v>18</v>
      </c>
      <c r="N65" t="s">
        <v>71</v>
      </c>
      <c r="O65" t="s">
        <v>155</v>
      </c>
      <c r="P65" s="22">
        <v>44</v>
      </c>
      <c r="Q65" t="s">
        <v>79</v>
      </c>
      <c r="R65" t="s">
        <v>198</v>
      </c>
      <c r="S65" t="s">
        <v>63</v>
      </c>
      <c r="T65">
        <f t="shared" si="4"/>
        <v>7</v>
      </c>
      <c r="U65" s="5">
        <v>44201</v>
      </c>
      <c r="V65" s="7">
        <v>0.47222222222222227</v>
      </c>
      <c r="W65" s="5">
        <v>44208</v>
      </c>
      <c r="X65" s="7">
        <v>0.48749999999999999</v>
      </c>
      <c r="Y65" s="22">
        <f t="shared" si="5"/>
        <v>7</v>
      </c>
      <c r="Z65" t="s">
        <v>224</v>
      </c>
      <c r="AA65" t="s">
        <v>218</v>
      </c>
      <c r="AB65">
        <v>2</v>
      </c>
      <c r="AC65" t="s">
        <v>132</v>
      </c>
      <c r="AD65" t="s">
        <v>351</v>
      </c>
      <c r="AE65" t="s">
        <v>244</v>
      </c>
      <c r="AF65" t="s">
        <v>67</v>
      </c>
      <c r="AG65" s="20">
        <v>15</v>
      </c>
      <c r="AH65" s="20">
        <v>8.5</v>
      </c>
      <c r="AI65" s="20">
        <v>16</v>
      </c>
      <c r="AJ65" s="22">
        <v>45</v>
      </c>
      <c r="AK65" s="22">
        <v>0</v>
      </c>
      <c r="AL65" s="22">
        <v>20</v>
      </c>
      <c r="AM65" s="77">
        <f t="shared" si="6"/>
        <v>0.55555555555555558</v>
      </c>
      <c r="AN65" s="22" t="s">
        <v>246</v>
      </c>
      <c r="AO65" s="58">
        <v>2</v>
      </c>
      <c r="AP65" t="s">
        <v>234</v>
      </c>
      <c r="AQ65" t="s">
        <v>667</v>
      </c>
      <c r="AR65" t="s">
        <v>132</v>
      </c>
      <c r="AT65" t="s">
        <v>119</v>
      </c>
      <c r="AV65" t="s">
        <v>335</v>
      </c>
      <c r="AW65" t="s">
        <v>182</v>
      </c>
      <c r="AX65" t="s">
        <v>182</v>
      </c>
      <c r="AY65" t="s">
        <v>182</v>
      </c>
      <c r="AZ65" s="28"/>
      <c r="BA65" s="28"/>
      <c r="BB65" t="s">
        <v>158</v>
      </c>
    </row>
    <row r="66" spans="1:54" x14ac:dyDescent="0.6">
      <c r="A66" s="14" t="str">
        <f t="shared" si="1"/>
        <v>Y</v>
      </c>
      <c r="B66" s="14" t="str">
        <f t="shared" si="2"/>
        <v>Y</v>
      </c>
      <c r="C66" t="s">
        <v>141</v>
      </c>
      <c r="D66" t="s">
        <v>63</v>
      </c>
      <c r="E66" t="s">
        <v>63</v>
      </c>
      <c r="F66" t="str">
        <f t="shared" si="3"/>
        <v>N_N</v>
      </c>
      <c r="G66" s="22">
        <v>34</v>
      </c>
      <c r="H66" t="s">
        <v>52</v>
      </c>
      <c r="I66" s="5">
        <v>44194</v>
      </c>
      <c r="J66" s="7">
        <v>0.46597222222222223</v>
      </c>
      <c r="K66" s="20">
        <v>11</v>
      </c>
      <c r="L66" s="20">
        <v>11.5</v>
      </c>
      <c r="M66" s="20">
        <v>15</v>
      </c>
      <c r="N66" t="s">
        <v>71</v>
      </c>
      <c r="O66" t="s">
        <v>153</v>
      </c>
      <c r="P66" s="22">
        <v>44</v>
      </c>
      <c r="Q66" t="s">
        <v>145</v>
      </c>
      <c r="R66" t="s">
        <v>78</v>
      </c>
      <c r="S66" s="56" t="s">
        <v>78</v>
      </c>
      <c r="T66">
        <f t="shared" si="4"/>
        <v>7</v>
      </c>
      <c r="U66" s="5">
        <v>44201</v>
      </c>
      <c r="V66" s="7">
        <v>0.4770833333333333</v>
      </c>
      <c r="W66" s="5">
        <v>44208</v>
      </c>
      <c r="X66" s="7">
        <v>0.48958333333333331</v>
      </c>
      <c r="Y66" s="22">
        <f t="shared" si="5"/>
        <v>7</v>
      </c>
      <c r="Z66" t="s">
        <v>216</v>
      </c>
      <c r="AA66" t="s">
        <v>216</v>
      </c>
      <c r="AB66">
        <v>1</v>
      </c>
      <c r="AC66" t="s">
        <v>117</v>
      </c>
      <c r="AD66" t="s">
        <v>117</v>
      </c>
      <c r="AE66" t="s">
        <v>244</v>
      </c>
      <c r="AF66" t="s">
        <v>120</v>
      </c>
      <c r="AG66" s="20">
        <v>9.5</v>
      </c>
      <c r="AH66" s="20">
        <v>8</v>
      </c>
      <c r="AI66" s="20">
        <v>7.5</v>
      </c>
      <c r="AJ66" s="22">
        <v>70</v>
      </c>
      <c r="AK66" s="22">
        <v>0</v>
      </c>
      <c r="AL66" s="22">
        <v>5</v>
      </c>
      <c r="AM66" s="74">
        <f t="shared" ref="AM66:AM242" si="7">((AJ66-AL66)/AJ66)</f>
        <v>0.9285714285714286</v>
      </c>
      <c r="AN66" s="22" t="s">
        <v>226</v>
      </c>
      <c r="AO66" s="58">
        <v>0.5</v>
      </c>
      <c r="AP66" t="s">
        <v>234</v>
      </c>
      <c r="AQ66" s="22" t="s">
        <v>668</v>
      </c>
      <c r="AR66" t="s">
        <v>159</v>
      </c>
      <c r="AV66" t="s">
        <v>226</v>
      </c>
      <c r="AW66" t="s">
        <v>182</v>
      </c>
      <c r="AX66" t="s">
        <v>182</v>
      </c>
      <c r="AY66" t="s">
        <v>182</v>
      </c>
      <c r="AZ66" s="28"/>
      <c r="BA66" s="28"/>
      <c r="BB66" t="s">
        <v>160</v>
      </c>
    </row>
    <row r="67" spans="1:54" x14ac:dyDescent="0.6">
      <c r="A67" s="14" t="str">
        <f t="shared" ref="A67:A130" si="8">IF(T67=7, "Y", "N")</f>
        <v>Y</v>
      </c>
      <c r="B67" s="14" t="str">
        <f t="shared" ref="B67:B130" si="9">IF(Y67=7, "Y", "N")</f>
        <v>Y</v>
      </c>
      <c r="C67" t="s">
        <v>141</v>
      </c>
      <c r="D67" t="s">
        <v>63</v>
      </c>
      <c r="E67" t="s">
        <v>63</v>
      </c>
      <c r="F67" t="str">
        <f t="shared" ref="F67:F72" si="10">D67&amp;"_"&amp;E67</f>
        <v>N_N</v>
      </c>
      <c r="G67" s="22">
        <v>34</v>
      </c>
      <c r="H67" t="s">
        <v>52</v>
      </c>
      <c r="I67" s="5">
        <v>44194</v>
      </c>
      <c r="J67" s="7">
        <v>0.46597222222222223</v>
      </c>
      <c r="K67" s="20">
        <v>11</v>
      </c>
      <c r="L67" s="20">
        <v>11.5</v>
      </c>
      <c r="M67" s="20">
        <v>15</v>
      </c>
      <c r="N67" t="s">
        <v>71</v>
      </c>
      <c r="O67" t="s">
        <v>153</v>
      </c>
      <c r="P67" s="22">
        <v>44</v>
      </c>
      <c r="Q67" t="s">
        <v>145</v>
      </c>
      <c r="R67" t="s">
        <v>78</v>
      </c>
      <c r="S67" s="56" t="s">
        <v>78</v>
      </c>
      <c r="T67">
        <f t="shared" ref="T67:T130" si="11">DATEDIF(I67,U67,"d")</f>
        <v>7</v>
      </c>
      <c r="U67" s="5">
        <v>44201</v>
      </c>
      <c r="V67" s="7">
        <v>0.4770833333333333</v>
      </c>
      <c r="W67" s="5">
        <v>44208</v>
      </c>
      <c r="X67" s="7">
        <v>0.48958333333333331</v>
      </c>
      <c r="Y67" s="22">
        <f t="shared" ref="Y67:Y130" si="12">DATEDIF(U67,W67,"d")</f>
        <v>7</v>
      </c>
      <c r="Z67" t="s">
        <v>216</v>
      </c>
      <c r="AA67" t="s">
        <v>216</v>
      </c>
      <c r="AB67">
        <v>2</v>
      </c>
      <c r="AC67" t="s">
        <v>66</v>
      </c>
      <c r="AD67" t="s">
        <v>351</v>
      </c>
      <c r="AE67" t="s">
        <v>242</v>
      </c>
      <c r="AF67" t="s">
        <v>67</v>
      </c>
      <c r="AG67" s="20">
        <v>10</v>
      </c>
      <c r="AH67" s="20">
        <v>9</v>
      </c>
      <c r="AI67" s="20">
        <v>9</v>
      </c>
      <c r="AJ67" s="22">
        <v>60</v>
      </c>
      <c r="AK67" s="22">
        <v>1</v>
      </c>
      <c r="AL67" s="22">
        <v>0</v>
      </c>
      <c r="AM67" s="74">
        <f t="shared" si="7"/>
        <v>1</v>
      </c>
      <c r="AN67" s="22" t="s">
        <v>226</v>
      </c>
      <c r="AO67" s="58">
        <v>0.5</v>
      </c>
      <c r="AP67" t="s">
        <v>234</v>
      </c>
      <c r="AQ67" s="22" t="s">
        <v>668</v>
      </c>
      <c r="AR67" t="s">
        <v>159</v>
      </c>
      <c r="AV67" t="s">
        <v>226</v>
      </c>
      <c r="AW67" t="s">
        <v>182</v>
      </c>
      <c r="AX67" t="s">
        <v>182</v>
      </c>
      <c r="AY67" t="s">
        <v>182</v>
      </c>
      <c r="AZ67" s="28"/>
      <c r="BA67" s="28"/>
      <c r="BB67" t="s">
        <v>160</v>
      </c>
    </row>
    <row r="68" spans="1:54" x14ac:dyDescent="0.6">
      <c r="A68" s="14" t="str">
        <f t="shared" si="8"/>
        <v>Y</v>
      </c>
      <c r="B68" s="14" t="str">
        <f t="shared" si="9"/>
        <v>Y</v>
      </c>
      <c r="C68" t="s">
        <v>141</v>
      </c>
      <c r="D68" t="s">
        <v>63</v>
      </c>
      <c r="E68" t="s">
        <v>63</v>
      </c>
      <c r="F68" t="str">
        <f t="shared" si="10"/>
        <v>N_N</v>
      </c>
      <c r="G68" s="22">
        <v>35</v>
      </c>
      <c r="H68" t="s">
        <v>53</v>
      </c>
      <c r="I68" s="5">
        <v>44194</v>
      </c>
      <c r="J68" s="7">
        <v>0.50347222222222221</v>
      </c>
      <c r="K68" s="20">
        <v>12</v>
      </c>
      <c r="L68" s="20">
        <v>12</v>
      </c>
      <c r="M68" s="20">
        <v>17</v>
      </c>
      <c r="N68" t="s">
        <v>71</v>
      </c>
      <c r="O68" t="s">
        <v>155</v>
      </c>
      <c r="P68" s="22">
        <v>44</v>
      </c>
      <c r="Q68" t="s">
        <v>106</v>
      </c>
      <c r="R68" t="s">
        <v>129</v>
      </c>
      <c r="S68" s="56" t="s">
        <v>129</v>
      </c>
      <c r="T68">
        <f t="shared" si="11"/>
        <v>7</v>
      </c>
      <c r="U68" s="5">
        <v>44201</v>
      </c>
      <c r="V68" s="7">
        <v>0.48888888888888887</v>
      </c>
      <c r="W68" s="5">
        <v>44208</v>
      </c>
      <c r="X68" s="7">
        <v>0.4916666666666667</v>
      </c>
      <c r="Y68" s="22">
        <f t="shared" si="12"/>
        <v>7</v>
      </c>
      <c r="Z68" t="s">
        <v>218</v>
      </c>
      <c r="AA68" t="s">
        <v>218</v>
      </c>
      <c r="AB68">
        <v>1</v>
      </c>
      <c r="AC68" t="s">
        <v>119</v>
      </c>
      <c r="AD68" t="s">
        <v>119</v>
      </c>
      <c r="AE68" t="s">
        <v>242</v>
      </c>
      <c r="AF68" t="s">
        <v>120</v>
      </c>
      <c r="AG68" s="20">
        <v>4.5</v>
      </c>
      <c r="AH68" s="20">
        <v>2.5</v>
      </c>
      <c r="AI68" s="20">
        <v>2.5</v>
      </c>
      <c r="AJ68" s="22">
        <v>80</v>
      </c>
      <c r="AK68" s="22">
        <v>0</v>
      </c>
      <c r="AL68" s="22">
        <v>80</v>
      </c>
      <c r="AM68" s="74">
        <f t="shared" si="7"/>
        <v>0</v>
      </c>
      <c r="AN68" s="22" t="s">
        <v>245</v>
      </c>
      <c r="AO68" s="58">
        <v>0</v>
      </c>
      <c r="AP68" t="s">
        <v>233</v>
      </c>
      <c r="AQ68" t="s">
        <v>667</v>
      </c>
      <c r="AR68" t="s">
        <v>66</v>
      </c>
      <c r="AT68" t="s">
        <v>119</v>
      </c>
      <c r="AV68" t="s">
        <v>335</v>
      </c>
      <c r="AW68" t="s">
        <v>182</v>
      </c>
      <c r="AX68" t="s">
        <v>182</v>
      </c>
      <c r="AY68" t="s">
        <v>182</v>
      </c>
      <c r="AZ68" s="28"/>
      <c r="BA68" s="28"/>
      <c r="BB68"/>
    </row>
    <row r="69" spans="1:54" x14ac:dyDescent="0.6">
      <c r="A69" s="14" t="str">
        <f t="shared" si="8"/>
        <v>Y</v>
      </c>
      <c r="B69" s="14" t="str">
        <f t="shared" si="9"/>
        <v>Y</v>
      </c>
      <c r="C69" t="s">
        <v>141</v>
      </c>
      <c r="D69" t="s">
        <v>63</v>
      </c>
      <c r="E69" t="s">
        <v>63</v>
      </c>
      <c r="F69" t="str">
        <f t="shared" si="10"/>
        <v>N_N</v>
      </c>
      <c r="G69" s="22">
        <v>35</v>
      </c>
      <c r="H69" t="s">
        <v>53</v>
      </c>
      <c r="I69" s="5">
        <v>44194</v>
      </c>
      <c r="J69" s="7">
        <v>0.50347222222222221</v>
      </c>
      <c r="K69" s="20">
        <v>12</v>
      </c>
      <c r="L69" s="20">
        <v>12</v>
      </c>
      <c r="M69" s="20">
        <v>17</v>
      </c>
      <c r="N69" t="s">
        <v>71</v>
      </c>
      <c r="O69" t="s">
        <v>155</v>
      </c>
      <c r="P69" s="22">
        <v>44</v>
      </c>
      <c r="Q69" t="s">
        <v>106</v>
      </c>
      <c r="R69" t="s">
        <v>129</v>
      </c>
      <c r="S69" s="56" t="s">
        <v>129</v>
      </c>
      <c r="T69">
        <f t="shared" si="11"/>
        <v>7</v>
      </c>
      <c r="U69" s="5">
        <v>44201</v>
      </c>
      <c r="V69" s="7">
        <v>0.48888888888888887</v>
      </c>
      <c r="W69" s="5">
        <v>44208</v>
      </c>
      <c r="X69" s="7">
        <v>0.4916666666666667</v>
      </c>
      <c r="Y69" s="22">
        <f t="shared" si="12"/>
        <v>7</v>
      </c>
      <c r="Z69" t="s">
        <v>218</v>
      </c>
      <c r="AA69" t="s">
        <v>218</v>
      </c>
      <c r="AB69">
        <v>2</v>
      </c>
      <c r="AC69" t="s">
        <v>66</v>
      </c>
      <c r="AD69" t="s">
        <v>351</v>
      </c>
      <c r="AE69" t="s">
        <v>244</v>
      </c>
      <c r="AF69" t="s">
        <v>67</v>
      </c>
      <c r="AG69" s="20">
        <v>3</v>
      </c>
      <c r="AH69" s="20">
        <v>2</v>
      </c>
      <c r="AI69" s="20">
        <v>2.5</v>
      </c>
      <c r="AJ69" s="22">
        <v>80</v>
      </c>
      <c r="AK69" s="22">
        <v>0</v>
      </c>
      <c r="AL69" s="22">
        <v>0</v>
      </c>
      <c r="AM69" s="74">
        <f t="shared" si="7"/>
        <v>1</v>
      </c>
      <c r="AN69" s="22" t="s">
        <v>246</v>
      </c>
      <c r="AO69" s="58">
        <v>2</v>
      </c>
      <c r="AP69" t="s">
        <v>234</v>
      </c>
      <c r="AQ69" t="s">
        <v>667</v>
      </c>
      <c r="AR69" t="s">
        <v>66</v>
      </c>
      <c r="AT69" t="s">
        <v>119</v>
      </c>
      <c r="AV69" t="s">
        <v>335</v>
      </c>
      <c r="AW69" t="s">
        <v>182</v>
      </c>
      <c r="AX69" t="s">
        <v>182</v>
      </c>
      <c r="AY69" t="s">
        <v>182</v>
      </c>
      <c r="AZ69" s="28"/>
      <c r="BA69" s="28"/>
      <c r="BB69"/>
    </row>
    <row r="70" spans="1:54" x14ac:dyDescent="0.6">
      <c r="A70" s="14" t="str">
        <f t="shared" si="8"/>
        <v>N</v>
      </c>
      <c r="B70" s="14" t="str">
        <f t="shared" si="9"/>
        <v>N</v>
      </c>
      <c r="C70" t="s">
        <v>141</v>
      </c>
      <c r="D70" t="s">
        <v>141</v>
      </c>
      <c r="E70" t="s">
        <v>63</v>
      </c>
      <c r="F70" t="str">
        <f t="shared" si="10"/>
        <v>Y_N</v>
      </c>
      <c r="G70" s="22">
        <v>36</v>
      </c>
      <c r="H70" t="s">
        <v>49</v>
      </c>
      <c r="I70" s="5">
        <v>44208</v>
      </c>
      <c r="J70" s="7">
        <v>0.48749999999999999</v>
      </c>
      <c r="K70" s="20">
        <v>10.5</v>
      </c>
      <c r="L70" s="20">
        <v>10.5</v>
      </c>
      <c r="M70" s="20">
        <v>18</v>
      </c>
      <c r="N70" t="s">
        <v>71</v>
      </c>
      <c r="O70" t="s">
        <v>136</v>
      </c>
      <c r="P70" s="22">
        <v>37</v>
      </c>
      <c r="Q70" t="s">
        <v>79</v>
      </c>
      <c r="R70" t="s">
        <v>205</v>
      </c>
      <c r="S70" t="s">
        <v>63</v>
      </c>
      <c r="T70">
        <f t="shared" si="11"/>
        <v>9</v>
      </c>
      <c r="U70" s="5">
        <v>44217</v>
      </c>
      <c r="V70" s="7">
        <v>0.51666666666666672</v>
      </c>
      <c r="W70" s="5">
        <v>44227</v>
      </c>
      <c r="X70" s="7">
        <v>0.40625</v>
      </c>
      <c r="Y70" s="22">
        <f t="shared" si="12"/>
        <v>10</v>
      </c>
      <c r="Z70" t="s">
        <v>218</v>
      </c>
      <c r="AA70" t="s">
        <v>218</v>
      </c>
      <c r="AB70">
        <v>1</v>
      </c>
      <c r="AC70" t="s">
        <v>66</v>
      </c>
      <c r="AD70" t="s">
        <v>351</v>
      </c>
      <c r="AE70" t="s">
        <v>242</v>
      </c>
      <c r="AF70" t="s">
        <v>67</v>
      </c>
      <c r="AG70" s="20">
        <v>5</v>
      </c>
      <c r="AH70" s="20">
        <v>4.5</v>
      </c>
      <c r="AI70" s="20">
        <v>5</v>
      </c>
      <c r="AJ70" s="22">
        <v>80</v>
      </c>
      <c r="AK70" s="22">
        <v>0</v>
      </c>
      <c r="AL70" s="22">
        <v>0</v>
      </c>
      <c r="AM70" s="77">
        <f t="shared" si="7"/>
        <v>1</v>
      </c>
      <c r="AN70" s="22" t="s">
        <v>246</v>
      </c>
      <c r="AO70" s="58">
        <v>2</v>
      </c>
      <c r="AP70" t="s">
        <v>234</v>
      </c>
      <c r="AQ70" t="s">
        <v>668</v>
      </c>
      <c r="AR70" t="s">
        <v>66</v>
      </c>
      <c r="AS70" t="s">
        <v>119</v>
      </c>
      <c r="AV70" s="28"/>
      <c r="AW70" s="28"/>
      <c r="AX70" s="28"/>
      <c r="AY70" s="28"/>
      <c r="AZ70" s="28"/>
      <c r="BA70" s="28"/>
      <c r="BB70"/>
    </row>
    <row r="71" spans="1:54" x14ac:dyDescent="0.6">
      <c r="A71" s="14" t="str">
        <f t="shared" si="8"/>
        <v>N</v>
      </c>
      <c r="B71" s="14" t="str">
        <f t="shared" si="9"/>
        <v>N</v>
      </c>
      <c r="C71" t="s">
        <v>141</v>
      </c>
      <c r="D71" t="s">
        <v>141</v>
      </c>
      <c r="E71" t="s">
        <v>63</v>
      </c>
      <c r="F71" t="str">
        <f t="shared" si="10"/>
        <v>Y_N</v>
      </c>
      <c r="G71" s="22">
        <v>36</v>
      </c>
      <c r="H71" t="s">
        <v>49</v>
      </c>
      <c r="I71" s="5">
        <v>44208</v>
      </c>
      <c r="J71" s="7">
        <v>0.48749999999999999</v>
      </c>
      <c r="K71" s="20">
        <v>10.5</v>
      </c>
      <c r="L71" s="20">
        <v>10.5</v>
      </c>
      <c r="M71" s="20">
        <v>18</v>
      </c>
      <c r="N71" t="s">
        <v>71</v>
      </c>
      <c r="O71" t="s">
        <v>136</v>
      </c>
      <c r="P71" s="22">
        <v>37</v>
      </c>
      <c r="Q71" t="s">
        <v>79</v>
      </c>
      <c r="R71" t="s">
        <v>205</v>
      </c>
      <c r="S71" t="s">
        <v>63</v>
      </c>
      <c r="T71">
        <f t="shared" si="11"/>
        <v>9</v>
      </c>
      <c r="U71" s="5">
        <v>44217</v>
      </c>
      <c r="V71" s="7">
        <v>0.51666666666666672</v>
      </c>
      <c r="W71" s="5">
        <v>44227</v>
      </c>
      <c r="X71" s="7">
        <v>0.40625</v>
      </c>
      <c r="Y71" s="22">
        <f t="shared" si="12"/>
        <v>10</v>
      </c>
      <c r="Z71" t="s">
        <v>218</v>
      </c>
      <c r="AA71" t="s">
        <v>218</v>
      </c>
      <c r="AB71">
        <v>2</v>
      </c>
      <c r="AC71" t="s">
        <v>119</v>
      </c>
      <c r="AD71" t="s">
        <v>119</v>
      </c>
      <c r="AE71" t="s">
        <v>244</v>
      </c>
      <c r="AF71" t="s">
        <v>120</v>
      </c>
      <c r="AG71" s="20">
        <v>13</v>
      </c>
      <c r="AH71" s="20">
        <v>6.5</v>
      </c>
      <c r="AI71" s="20">
        <v>6</v>
      </c>
      <c r="AJ71" s="22">
        <v>30</v>
      </c>
      <c r="AK71" s="22">
        <v>0</v>
      </c>
      <c r="AL71" s="22">
        <v>0</v>
      </c>
      <c r="AM71" s="77">
        <f t="shared" si="7"/>
        <v>1</v>
      </c>
      <c r="AN71" s="22" t="s">
        <v>247</v>
      </c>
      <c r="AO71" s="58">
        <v>1</v>
      </c>
      <c r="AP71" t="s">
        <v>234</v>
      </c>
      <c r="AQ71" t="s">
        <v>668</v>
      </c>
      <c r="AR71" t="s">
        <v>66</v>
      </c>
      <c r="AS71" t="s">
        <v>119</v>
      </c>
      <c r="AV71" s="28"/>
      <c r="AW71" s="28"/>
      <c r="AX71" s="28"/>
      <c r="AY71" s="28"/>
      <c r="AZ71" s="28"/>
      <c r="BA71" s="28"/>
      <c r="BB71"/>
    </row>
    <row r="72" spans="1:54" x14ac:dyDescent="0.6">
      <c r="A72" s="14" t="str">
        <f t="shared" si="8"/>
        <v>N</v>
      </c>
      <c r="B72" s="14" t="str">
        <f t="shared" si="9"/>
        <v>N</v>
      </c>
      <c r="C72" t="s">
        <v>141</v>
      </c>
      <c r="D72" t="s">
        <v>63</v>
      </c>
      <c r="E72" t="s">
        <v>63</v>
      </c>
      <c r="F72" t="str">
        <f t="shared" si="10"/>
        <v>N_N</v>
      </c>
      <c r="G72" s="22">
        <v>37</v>
      </c>
      <c r="H72" t="s">
        <v>50</v>
      </c>
      <c r="I72" s="5">
        <v>44208</v>
      </c>
      <c r="J72" s="7">
        <v>0.48749999999999999</v>
      </c>
      <c r="K72" s="20">
        <v>11.5</v>
      </c>
      <c r="L72" s="20">
        <v>11</v>
      </c>
      <c r="M72" s="20">
        <v>14</v>
      </c>
      <c r="N72" t="s">
        <v>71</v>
      </c>
      <c r="O72" t="s">
        <v>136</v>
      </c>
      <c r="P72" s="22">
        <v>35</v>
      </c>
      <c r="Q72" t="s">
        <v>56</v>
      </c>
      <c r="R72" t="s">
        <v>93</v>
      </c>
      <c r="S72" s="56" t="s">
        <v>93</v>
      </c>
      <c r="T72">
        <f t="shared" si="11"/>
        <v>9</v>
      </c>
      <c r="U72" s="5">
        <v>44217</v>
      </c>
      <c r="V72" s="7">
        <v>0.5180555555555556</v>
      </c>
      <c r="W72" s="5">
        <v>44227</v>
      </c>
      <c r="X72" s="7">
        <v>0.4069444444444445</v>
      </c>
      <c r="Y72" s="22">
        <f t="shared" si="12"/>
        <v>10</v>
      </c>
      <c r="Z72" t="s">
        <v>216</v>
      </c>
      <c r="AA72" t="s">
        <v>216</v>
      </c>
      <c r="AB72">
        <v>1</v>
      </c>
      <c r="AC72" t="s">
        <v>66</v>
      </c>
      <c r="AD72" t="s">
        <v>351</v>
      </c>
      <c r="AE72" t="s">
        <v>242</v>
      </c>
      <c r="AF72" t="s">
        <v>67</v>
      </c>
      <c r="AG72" s="20">
        <v>5.5</v>
      </c>
      <c r="AH72" s="20">
        <v>2.5</v>
      </c>
      <c r="AI72" s="20">
        <v>3.5</v>
      </c>
      <c r="AJ72" s="22">
        <v>90</v>
      </c>
      <c r="AK72" s="22">
        <v>0</v>
      </c>
      <c r="AL72" s="22">
        <v>0</v>
      </c>
      <c r="AM72" s="77">
        <f t="shared" si="7"/>
        <v>1</v>
      </c>
      <c r="AN72" s="22" t="s">
        <v>246</v>
      </c>
      <c r="AO72" s="58">
        <v>2</v>
      </c>
      <c r="AP72" t="s">
        <v>234</v>
      </c>
      <c r="AQ72" t="s">
        <v>667</v>
      </c>
      <c r="AR72" t="s">
        <v>66</v>
      </c>
      <c r="AT72" t="s">
        <v>117</v>
      </c>
      <c r="AV72" t="s">
        <v>335</v>
      </c>
      <c r="AW72" t="s">
        <v>182</v>
      </c>
      <c r="AX72" t="s">
        <v>182</v>
      </c>
      <c r="AY72" t="s">
        <v>182</v>
      </c>
      <c r="AZ72" s="28"/>
      <c r="BA72" s="28"/>
      <c r="BB72"/>
    </row>
    <row r="73" spans="1:54" x14ac:dyDescent="0.6">
      <c r="A73" s="14" t="str">
        <f t="shared" si="8"/>
        <v>N</v>
      </c>
      <c r="B73" s="14" t="str">
        <f t="shared" si="9"/>
        <v>N</v>
      </c>
      <c r="C73" t="s">
        <v>141</v>
      </c>
      <c r="D73" t="s">
        <v>63</v>
      </c>
      <c r="E73" t="s">
        <v>63</v>
      </c>
      <c r="F73" t="str">
        <f>D73&amp;"_"&amp;E73</f>
        <v>N_N</v>
      </c>
      <c r="G73" s="22">
        <v>37</v>
      </c>
      <c r="H73" t="s">
        <v>50</v>
      </c>
      <c r="I73" s="5">
        <v>44208</v>
      </c>
      <c r="J73" s="7">
        <v>0.48749999999999999</v>
      </c>
      <c r="K73" s="20">
        <v>11.5</v>
      </c>
      <c r="L73" s="20">
        <v>11</v>
      </c>
      <c r="M73" s="20">
        <v>14</v>
      </c>
      <c r="N73" t="s">
        <v>71</v>
      </c>
      <c r="O73" t="s">
        <v>136</v>
      </c>
      <c r="P73" s="22">
        <v>35</v>
      </c>
      <c r="Q73" t="s">
        <v>56</v>
      </c>
      <c r="R73" t="s">
        <v>93</v>
      </c>
      <c r="S73" s="56" t="s">
        <v>93</v>
      </c>
      <c r="T73">
        <f t="shared" si="11"/>
        <v>9</v>
      </c>
      <c r="U73" s="5">
        <v>44217</v>
      </c>
      <c r="V73" s="7">
        <v>0.5180555555555556</v>
      </c>
      <c r="W73" s="5">
        <v>44227</v>
      </c>
      <c r="X73" s="7">
        <v>0.4069444444444445</v>
      </c>
      <c r="Y73" s="22">
        <f t="shared" si="12"/>
        <v>10</v>
      </c>
      <c r="Z73" t="s">
        <v>216</v>
      </c>
      <c r="AA73" t="s">
        <v>216</v>
      </c>
      <c r="AB73">
        <v>2</v>
      </c>
      <c r="AC73" t="s">
        <v>117</v>
      </c>
      <c r="AD73" t="s">
        <v>117</v>
      </c>
      <c r="AE73" t="s">
        <v>244</v>
      </c>
      <c r="AF73" t="s">
        <v>120</v>
      </c>
      <c r="AG73" s="20">
        <v>5.5</v>
      </c>
      <c r="AH73" s="20">
        <v>5</v>
      </c>
      <c r="AI73" s="20">
        <v>2.5</v>
      </c>
      <c r="AJ73" s="22">
        <v>25</v>
      </c>
      <c r="AK73" s="22">
        <v>0</v>
      </c>
      <c r="AL73" s="22">
        <v>25</v>
      </c>
      <c r="AM73" s="77">
        <f t="shared" si="7"/>
        <v>0</v>
      </c>
      <c r="AN73" s="22" t="s">
        <v>245</v>
      </c>
      <c r="AO73" s="58">
        <v>0</v>
      </c>
      <c r="AP73" t="s">
        <v>233</v>
      </c>
      <c r="AQ73" t="s">
        <v>667</v>
      </c>
      <c r="AR73" t="s">
        <v>66</v>
      </c>
      <c r="AT73" t="s">
        <v>117</v>
      </c>
      <c r="AV73" t="s">
        <v>335</v>
      </c>
      <c r="AW73" t="s">
        <v>182</v>
      </c>
      <c r="AX73" t="s">
        <v>182</v>
      </c>
      <c r="AY73" t="s">
        <v>182</v>
      </c>
      <c r="AZ73" s="28"/>
      <c r="BA73" s="28"/>
      <c r="BB73"/>
    </row>
    <row r="74" spans="1:54" x14ac:dyDescent="0.6">
      <c r="A74" s="14" t="str">
        <f t="shared" si="8"/>
        <v>N</v>
      </c>
      <c r="B74" s="14" t="str">
        <f t="shared" si="9"/>
        <v>N</v>
      </c>
      <c r="C74" t="s">
        <v>141</v>
      </c>
      <c r="D74" t="s">
        <v>63</v>
      </c>
      <c r="E74" t="s">
        <v>63</v>
      </c>
      <c r="F74" t="str">
        <f t="shared" ref="F74:F97" si="13">D74&amp;"_"&amp;E74</f>
        <v>N_N</v>
      </c>
      <c r="G74" s="22">
        <v>39</v>
      </c>
      <c r="H74" t="s">
        <v>52</v>
      </c>
      <c r="I74" s="5">
        <v>44208</v>
      </c>
      <c r="J74" s="7">
        <v>0.48749999999999999</v>
      </c>
      <c r="K74" s="20">
        <v>14</v>
      </c>
      <c r="L74" s="20">
        <v>14</v>
      </c>
      <c r="M74" s="20">
        <v>22</v>
      </c>
      <c r="N74" t="s">
        <v>71</v>
      </c>
      <c r="O74" t="s">
        <v>161</v>
      </c>
      <c r="P74" s="22">
        <v>32</v>
      </c>
      <c r="Q74" t="s">
        <v>162</v>
      </c>
      <c r="R74" t="s">
        <v>200</v>
      </c>
      <c r="S74" t="s">
        <v>63</v>
      </c>
      <c r="T74">
        <f t="shared" si="11"/>
        <v>9</v>
      </c>
      <c r="U74" s="5">
        <v>44217</v>
      </c>
      <c r="V74" s="7">
        <v>0.52222222222222225</v>
      </c>
      <c r="W74" s="5">
        <v>44227</v>
      </c>
      <c r="X74" s="7">
        <v>0.40833333333333338</v>
      </c>
      <c r="Y74" s="22">
        <f t="shared" si="12"/>
        <v>10</v>
      </c>
      <c r="Z74" t="s">
        <v>223</v>
      </c>
      <c r="AA74" t="s">
        <v>223</v>
      </c>
      <c r="AB74">
        <v>1</v>
      </c>
      <c r="AC74" t="s">
        <v>46</v>
      </c>
      <c r="AD74" t="s">
        <v>352</v>
      </c>
      <c r="AE74" t="s">
        <v>242</v>
      </c>
      <c r="AF74" t="s">
        <v>47</v>
      </c>
      <c r="AG74" s="20">
        <v>9</v>
      </c>
      <c r="AH74" s="20">
        <v>9.5</v>
      </c>
      <c r="AI74" s="20">
        <v>10.5</v>
      </c>
      <c r="AJ74" s="22">
        <v>80</v>
      </c>
      <c r="AK74" s="22">
        <v>0</v>
      </c>
      <c r="AL74" s="22">
        <v>80</v>
      </c>
      <c r="AM74" s="77">
        <f t="shared" si="7"/>
        <v>0</v>
      </c>
      <c r="AN74" s="22" t="s">
        <v>245</v>
      </c>
      <c r="AO74" s="58">
        <v>0</v>
      </c>
      <c r="AP74" t="s">
        <v>233</v>
      </c>
      <c r="AQ74" t="s">
        <v>667</v>
      </c>
      <c r="AR74" t="s">
        <v>117</v>
      </c>
      <c r="AT74" t="s">
        <v>46</v>
      </c>
      <c r="AV74" t="s">
        <v>335</v>
      </c>
      <c r="AW74" t="s">
        <v>182</v>
      </c>
      <c r="AX74" t="s">
        <v>182</v>
      </c>
      <c r="AY74" t="s">
        <v>182</v>
      </c>
      <c r="AZ74" s="28"/>
      <c r="BA74" s="28"/>
      <c r="BB74"/>
    </row>
    <row r="75" spans="1:54" x14ac:dyDescent="0.6">
      <c r="A75" s="14" t="str">
        <f t="shared" si="8"/>
        <v>N</v>
      </c>
      <c r="B75" s="14" t="str">
        <f t="shared" si="9"/>
        <v>N</v>
      </c>
      <c r="C75" t="s">
        <v>141</v>
      </c>
      <c r="D75" t="s">
        <v>63</v>
      </c>
      <c r="E75" t="s">
        <v>63</v>
      </c>
      <c r="F75" t="str">
        <f t="shared" si="13"/>
        <v>N_N</v>
      </c>
      <c r="G75" s="22">
        <v>39</v>
      </c>
      <c r="H75" t="s">
        <v>52</v>
      </c>
      <c r="I75" s="5">
        <v>44208</v>
      </c>
      <c r="J75" s="7">
        <v>0.48749999999999999</v>
      </c>
      <c r="K75" s="20">
        <v>14</v>
      </c>
      <c r="L75" s="20">
        <v>14</v>
      </c>
      <c r="M75" s="20">
        <v>22</v>
      </c>
      <c r="N75" t="s">
        <v>71</v>
      </c>
      <c r="O75" t="s">
        <v>161</v>
      </c>
      <c r="P75" s="22">
        <v>32</v>
      </c>
      <c r="Q75" t="s">
        <v>162</v>
      </c>
      <c r="R75" t="s">
        <v>200</v>
      </c>
      <c r="S75" t="s">
        <v>63</v>
      </c>
      <c r="T75">
        <f t="shared" si="11"/>
        <v>9</v>
      </c>
      <c r="U75" s="5">
        <v>44217</v>
      </c>
      <c r="V75" s="7">
        <v>0.52222222222222225</v>
      </c>
      <c r="W75" s="5">
        <v>44227</v>
      </c>
      <c r="X75" s="7">
        <v>0.40833333333333338</v>
      </c>
      <c r="Y75" s="22">
        <f t="shared" si="12"/>
        <v>10</v>
      </c>
      <c r="Z75" t="s">
        <v>223</v>
      </c>
      <c r="AA75" t="s">
        <v>223</v>
      </c>
      <c r="AB75">
        <v>2</v>
      </c>
      <c r="AC75" t="s">
        <v>117</v>
      </c>
      <c r="AD75" t="s">
        <v>117</v>
      </c>
      <c r="AE75" t="s">
        <v>244</v>
      </c>
      <c r="AF75" t="s">
        <v>120</v>
      </c>
      <c r="AG75" s="20">
        <v>12</v>
      </c>
      <c r="AH75" s="20">
        <v>8.5</v>
      </c>
      <c r="AI75" s="20">
        <v>6.5</v>
      </c>
      <c r="AJ75" s="22">
        <v>45</v>
      </c>
      <c r="AK75" s="22">
        <v>0</v>
      </c>
      <c r="AL75" s="22">
        <v>0</v>
      </c>
      <c r="AM75" s="77">
        <f t="shared" si="7"/>
        <v>1</v>
      </c>
      <c r="AN75" s="22" t="s">
        <v>246</v>
      </c>
      <c r="AO75" s="58">
        <v>2</v>
      </c>
      <c r="AP75" t="s">
        <v>234</v>
      </c>
      <c r="AQ75" t="s">
        <v>667</v>
      </c>
      <c r="AR75" t="s">
        <v>117</v>
      </c>
      <c r="AT75" t="s">
        <v>46</v>
      </c>
      <c r="AV75" t="s">
        <v>335</v>
      </c>
      <c r="AW75" t="s">
        <v>182</v>
      </c>
      <c r="AX75" t="s">
        <v>182</v>
      </c>
      <c r="AY75" t="s">
        <v>182</v>
      </c>
      <c r="AZ75" s="28"/>
      <c r="BA75" s="28"/>
      <c r="BB75"/>
    </row>
    <row r="76" spans="1:54" x14ac:dyDescent="0.6">
      <c r="A76" s="14" t="str">
        <f t="shared" si="8"/>
        <v>N</v>
      </c>
      <c r="B76" s="14" t="str">
        <f t="shared" si="9"/>
        <v>N</v>
      </c>
      <c r="C76" t="s">
        <v>141</v>
      </c>
      <c r="D76" t="s">
        <v>141</v>
      </c>
      <c r="E76" t="s">
        <v>63</v>
      </c>
      <c r="F76" t="str">
        <f t="shared" si="13"/>
        <v>Y_N</v>
      </c>
      <c r="G76" s="22">
        <v>40</v>
      </c>
      <c r="H76" t="s">
        <v>53</v>
      </c>
      <c r="I76" s="5">
        <v>44208</v>
      </c>
      <c r="J76" s="7">
        <v>0.48749999999999999</v>
      </c>
      <c r="K76" s="20">
        <v>10.5</v>
      </c>
      <c r="L76" s="20">
        <v>12</v>
      </c>
      <c r="M76" s="20">
        <v>18</v>
      </c>
      <c r="N76" t="s">
        <v>71</v>
      </c>
      <c r="O76" t="s">
        <v>136</v>
      </c>
      <c r="P76" s="22">
        <v>37</v>
      </c>
      <c r="Q76" t="s">
        <v>163</v>
      </c>
      <c r="R76" t="s">
        <v>204</v>
      </c>
      <c r="S76" t="s">
        <v>63</v>
      </c>
      <c r="T76">
        <f t="shared" si="11"/>
        <v>9</v>
      </c>
      <c r="U76" s="5">
        <v>44217</v>
      </c>
      <c r="V76" s="7">
        <v>0.52569444444444446</v>
      </c>
      <c r="W76" s="5">
        <v>44227</v>
      </c>
      <c r="X76" s="7">
        <v>0.41041666666666665</v>
      </c>
      <c r="Y76" s="22">
        <f t="shared" si="12"/>
        <v>10</v>
      </c>
      <c r="Z76" t="s">
        <v>223</v>
      </c>
      <c r="AA76" t="s">
        <v>223</v>
      </c>
      <c r="AB76">
        <v>1</v>
      </c>
      <c r="AC76" t="s">
        <v>46</v>
      </c>
      <c r="AD76" t="s">
        <v>352</v>
      </c>
      <c r="AE76" t="s">
        <v>242</v>
      </c>
      <c r="AF76" t="s">
        <v>47</v>
      </c>
      <c r="AG76" s="20">
        <v>11.5</v>
      </c>
      <c r="AH76" s="20">
        <v>8.5</v>
      </c>
      <c r="AI76" s="20">
        <v>9.5</v>
      </c>
      <c r="AJ76" s="22">
        <v>85</v>
      </c>
      <c r="AK76" s="22">
        <v>0</v>
      </c>
      <c r="AL76" s="22">
        <v>85</v>
      </c>
      <c r="AM76" s="77">
        <f t="shared" si="7"/>
        <v>0</v>
      </c>
      <c r="AN76" s="22" t="s">
        <v>245</v>
      </c>
      <c r="AO76" s="58">
        <v>0</v>
      </c>
      <c r="AP76" t="s">
        <v>233</v>
      </c>
      <c r="AQ76" t="s">
        <v>667</v>
      </c>
      <c r="AR76" t="s">
        <v>117</v>
      </c>
      <c r="AT76" t="s">
        <v>46</v>
      </c>
      <c r="AV76" s="28"/>
      <c r="AW76" s="28"/>
      <c r="AX76" s="28"/>
      <c r="AY76" s="28"/>
      <c r="AZ76" s="28"/>
      <c r="BA76" s="28"/>
      <c r="BB76" t="s">
        <v>166</v>
      </c>
    </row>
    <row r="77" spans="1:54" x14ac:dyDescent="0.6">
      <c r="A77" s="14" t="str">
        <f t="shared" si="8"/>
        <v>N</v>
      </c>
      <c r="B77" s="14" t="str">
        <f t="shared" si="9"/>
        <v>N</v>
      </c>
      <c r="C77" t="s">
        <v>141</v>
      </c>
      <c r="D77" t="s">
        <v>141</v>
      </c>
      <c r="E77" t="s">
        <v>63</v>
      </c>
      <c r="F77" t="str">
        <f t="shared" si="13"/>
        <v>Y_N</v>
      </c>
      <c r="G77" s="22">
        <v>40</v>
      </c>
      <c r="H77" t="s">
        <v>53</v>
      </c>
      <c r="I77" s="5">
        <v>44208</v>
      </c>
      <c r="J77" s="7">
        <v>0.48749999999999999</v>
      </c>
      <c r="K77" s="20">
        <v>10.5</v>
      </c>
      <c r="L77" s="20">
        <v>12</v>
      </c>
      <c r="M77" s="20">
        <v>18</v>
      </c>
      <c r="N77" t="s">
        <v>71</v>
      </c>
      <c r="O77" t="s">
        <v>136</v>
      </c>
      <c r="P77" s="22">
        <v>37</v>
      </c>
      <c r="Q77" t="s">
        <v>163</v>
      </c>
      <c r="R77" t="s">
        <v>204</v>
      </c>
      <c r="S77" t="s">
        <v>63</v>
      </c>
      <c r="T77">
        <f t="shared" si="11"/>
        <v>9</v>
      </c>
      <c r="U77" s="5">
        <v>44217</v>
      </c>
      <c r="V77" s="7">
        <v>0.52569444444444446</v>
      </c>
      <c r="W77" s="5">
        <v>44227</v>
      </c>
      <c r="X77" s="7">
        <v>0.41041666666666665</v>
      </c>
      <c r="Y77" s="22">
        <f t="shared" si="12"/>
        <v>10</v>
      </c>
      <c r="Z77" t="s">
        <v>223</v>
      </c>
      <c r="AA77" t="s">
        <v>223</v>
      </c>
      <c r="AB77">
        <v>2</v>
      </c>
      <c r="AC77" t="s">
        <v>117</v>
      </c>
      <c r="AD77" t="s">
        <v>117</v>
      </c>
      <c r="AE77" t="s">
        <v>244</v>
      </c>
      <c r="AF77" t="s">
        <v>120</v>
      </c>
      <c r="AG77" s="20">
        <v>14</v>
      </c>
      <c r="AH77" s="20">
        <v>9</v>
      </c>
      <c r="AI77" s="20">
        <v>7</v>
      </c>
      <c r="AJ77" s="22">
        <v>40</v>
      </c>
      <c r="AK77" s="22">
        <v>0</v>
      </c>
      <c r="AL77" s="22">
        <v>0</v>
      </c>
      <c r="AM77" s="77">
        <f t="shared" si="7"/>
        <v>1</v>
      </c>
      <c r="AN77" s="22" t="s">
        <v>246</v>
      </c>
      <c r="AO77" s="58">
        <v>2</v>
      </c>
      <c r="AP77" t="s">
        <v>234</v>
      </c>
      <c r="AQ77" t="s">
        <v>667</v>
      </c>
      <c r="AR77" t="s">
        <v>117</v>
      </c>
      <c r="AT77" t="s">
        <v>46</v>
      </c>
      <c r="AV77" s="28"/>
      <c r="AW77" s="28"/>
      <c r="AX77" s="28"/>
      <c r="AY77" s="28"/>
      <c r="AZ77" s="28"/>
      <c r="BA77" s="28"/>
      <c r="BB77" t="s">
        <v>166</v>
      </c>
    </row>
    <row r="78" spans="1:54" x14ac:dyDescent="0.6">
      <c r="A78" s="14" t="str">
        <f t="shared" si="8"/>
        <v>N</v>
      </c>
      <c r="B78" s="14" t="str">
        <f t="shared" si="9"/>
        <v>Y</v>
      </c>
      <c r="C78" t="s">
        <v>141</v>
      </c>
      <c r="D78" t="s">
        <v>141</v>
      </c>
      <c r="E78" t="s">
        <v>63</v>
      </c>
      <c r="F78" t="str">
        <f t="shared" si="13"/>
        <v>Y_N</v>
      </c>
      <c r="G78" s="22">
        <v>41</v>
      </c>
      <c r="H78" t="s">
        <v>49</v>
      </c>
      <c r="I78" s="5">
        <v>44227</v>
      </c>
      <c r="J78" s="7">
        <v>0.55208333333333337</v>
      </c>
      <c r="K78" s="20">
        <v>10</v>
      </c>
      <c r="L78" s="20">
        <v>10</v>
      </c>
      <c r="M78" s="20">
        <v>17</v>
      </c>
      <c r="N78" t="s">
        <v>108</v>
      </c>
      <c r="O78" t="s">
        <v>167</v>
      </c>
      <c r="P78" s="22">
        <v>29</v>
      </c>
      <c r="Q78" t="s">
        <v>57</v>
      </c>
      <c r="R78" t="s">
        <v>201</v>
      </c>
      <c r="S78" s="56" t="s">
        <v>201</v>
      </c>
      <c r="T78">
        <f t="shared" si="11"/>
        <v>4</v>
      </c>
      <c r="U78" s="5">
        <v>44231</v>
      </c>
      <c r="V78" s="7">
        <v>0.4375</v>
      </c>
      <c r="W78" s="5">
        <v>44238</v>
      </c>
      <c r="X78" s="7">
        <v>0.4375</v>
      </c>
      <c r="Y78" s="22">
        <f t="shared" si="12"/>
        <v>7</v>
      </c>
      <c r="Z78" t="s">
        <v>220</v>
      </c>
      <c r="AA78" t="s">
        <v>220</v>
      </c>
      <c r="AB78">
        <v>1</v>
      </c>
      <c r="AC78" t="s">
        <v>118</v>
      </c>
      <c r="AD78" t="s">
        <v>118</v>
      </c>
      <c r="AE78" t="s">
        <v>242</v>
      </c>
      <c r="AF78" t="s">
        <v>121</v>
      </c>
      <c r="AG78" s="20">
        <v>8</v>
      </c>
      <c r="AH78" s="20">
        <v>3</v>
      </c>
      <c r="AI78" s="20">
        <v>5.5</v>
      </c>
      <c r="AJ78" s="22">
        <v>40</v>
      </c>
      <c r="AK78" s="22">
        <v>0</v>
      </c>
      <c r="AL78" s="22">
        <v>40</v>
      </c>
      <c r="AM78" s="77">
        <f t="shared" si="7"/>
        <v>0</v>
      </c>
      <c r="AN78" s="22" t="s">
        <v>245</v>
      </c>
      <c r="AO78" s="58">
        <v>0</v>
      </c>
      <c r="AP78" t="s">
        <v>233</v>
      </c>
      <c r="AQ78" t="s">
        <v>669</v>
      </c>
      <c r="AT78" t="s">
        <v>118</v>
      </c>
      <c r="AU78" t="s">
        <v>119</v>
      </c>
      <c r="AV78" s="28"/>
      <c r="AW78" s="28"/>
      <c r="AX78" s="28"/>
      <c r="AY78" s="28"/>
      <c r="AZ78" s="28"/>
      <c r="BA78" s="28"/>
      <c r="BB78" t="s">
        <v>170</v>
      </c>
    </row>
    <row r="79" spans="1:54" x14ac:dyDescent="0.6">
      <c r="A79" s="14" t="str">
        <f t="shared" si="8"/>
        <v>N</v>
      </c>
      <c r="B79" s="14" t="str">
        <f t="shared" si="9"/>
        <v>Y</v>
      </c>
      <c r="C79" t="s">
        <v>141</v>
      </c>
      <c r="D79" t="s">
        <v>141</v>
      </c>
      <c r="E79" t="s">
        <v>63</v>
      </c>
      <c r="F79" t="str">
        <f t="shared" si="13"/>
        <v>Y_N</v>
      </c>
      <c r="G79" s="22">
        <v>41</v>
      </c>
      <c r="H79" t="s">
        <v>49</v>
      </c>
      <c r="I79" s="5">
        <v>44227</v>
      </c>
      <c r="J79" s="7">
        <v>0.55208333333333337</v>
      </c>
      <c r="K79" s="20">
        <v>10</v>
      </c>
      <c r="L79" s="20">
        <v>10</v>
      </c>
      <c r="M79" s="20">
        <v>17</v>
      </c>
      <c r="N79" t="s">
        <v>108</v>
      </c>
      <c r="O79" t="s">
        <v>167</v>
      </c>
      <c r="P79" s="22">
        <v>29</v>
      </c>
      <c r="Q79" t="s">
        <v>57</v>
      </c>
      <c r="R79" t="s">
        <v>201</v>
      </c>
      <c r="S79" s="56" t="s">
        <v>201</v>
      </c>
      <c r="T79">
        <f t="shared" si="11"/>
        <v>4</v>
      </c>
      <c r="U79" s="5">
        <v>44231</v>
      </c>
      <c r="V79" s="7">
        <v>0.4375</v>
      </c>
      <c r="W79" s="5">
        <v>44238</v>
      </c>
      <c r="X79" s="7">
        <v>0.4375</v>
      </c>
      <c r="Y79" s="22">
        <f t="shared" si="12"/>
        <v>7</v>
      </c>
      <c r="Z79" t="s">
        <v>220</v>
      </c>
      <c r="AA79" t="s">
        <v>220</v>
      </c>
      <c r="AB79">
        <v>2</v>
      </c>
      <c r="AC79" t="s">
        <v>119</v>
      </c>
      <c r="AD79" t="s">
        <v>119</v>
      </c>
      <c r="AE79" t="s">
        <v>244</v>
      </c>
      <c r="AF79" t="s">
        <v>120</v>
      </c>
      <c r="AG79" s="20">
        <v>6.5</v>
      </c>
      <c r="AH79" s="20">
        <v>3</v>
      </c>
      <c r="AI79" s="20">
        <v>2</v>
      </c>
      <c r="AJ79" s="22">
        <v>45</v>
      </c>
      <c r="AK79" s="22">
        <v>0</v>
      </c>
      <c r="AL79" s="22">
        <v>45</v>
      </c>
      <c r="AM79" s="77">
        <f t="shared" si="7"/>
        <v>0</v>
      </c>
      <c r="AN79" s="22" t="s">
        <v>245</v>
      </c>
      <c r="AO79" s="58">
        <v>0</v>
      </c>
      <c r="AP79" t="s">
        <v>233</v>
      </c>
      <c r="AQ79" t="s">
        <v>669</v>
      </c>
      <c r="AT79" t="s">
        <v>118</v>
      </c>
      <c r="AU79" t="s">
        <v>119</v>
      </c>
      <c r="AV79" s="28"/>
      <c r="AW79" s="28"/>
      <c r="AX79" s="28"/>
      <c r="AY79" s="28"/>
      <c r="AZ79" s="28"/>
      <c r="BA79" s="28"/>
      <c r="BB79" t="s">
        <v>170</v>
      </c>
    </row>
    <row r="80" spans="1:54" x14ac:dyDescent="0.6">
      <c r="A80" s="14" t="str">
        <f t="shared" si="8"/>
        <v>N</v>
      </c>
      <c r="B80" s="14" t="str">
        <f t="shared" si="9"/>
        <v>Y</v>
      </c>
      <c r="C80" t="s">
        <v>141</v>
      </c>
      <c r="D80" t="s">
        <v>141</v>
      </c>
      <c r="E80" t="s">
        <v>63</v>
      </c>
      <c r="F80" t="str">
        <f t="shared" si="13"/>
        <v>Y_N</v>
      </c>
      <c r="G80" s="22">
        <v>42</v>
      </c>
      <c r="H80" t="s">
        <v>50</v>
      </c>
      <c r="I80" s="5">
        <v>44227</v>
      </c>
      <c r="J80" s="7">
        <v>0.55208333333333337</v>
      </c>
      <c r="K80" s="20">
        <v>11.5</v>
      </c>
      <c r="L80" s="20">
        <v>11.5</v>
      </c>
      <c r="M80" s="20">
        <v>20</v>
      </c>
      <c r="N80" t="s">
        <v>71</v>
      </c>
      <c r="O80" t="s">
        <v>161</v>
      </c>
      <c r="P80" s="22">
        <v>36</v>
      </c>
      <c r="Q80" t="s">
        <v>162</v>
      </c>
      <c r="R80" t="s">
        <v>202</v>
      </c>
      <c r="S80" s="56" t="s">
        <v>202</v>
      </c>
      <c r="T80">
        <f t="shared" si="11"/>
        <v>4</v>
      </c>
      <c r="U80" s="5">
        <v>44231</v>
      </c>
      <c r="V80" s="7">
        <v>0.4548611111111111</v>
      </c>
      <c r="W80" s="5">
        <v>44238</v>
      </c>
      <c r="X80" s="7">
        <v>0.4375</v>
      </c>
      <c r="Y80" s="22">
        <f t="shared" si="12"/>
        <v>7</v>
      </c>
      <c r="Z80" t="s">
        <v>223</v>
      </c>
      <c r="AA80" t="s">
        <v>223</v>
      </c>
      <c r="AB80">
        <v>1</v>
      </c>
      <c r="AC80" t="s">
        <v>46</v>
      </c>
      <c r="AD80" t="s">
        <v>352</v>
      </c>
      <c r="AE80" t="s">
        <v>244</v>
      </c>
      <c r="AF80" t="s">
        <v>47</v>
      </c>
      <c r="AG80" s="20">
        <v>12.5</v>
      </c>
      <c r="AH80" s="20">
        <v>10</v>
      </c>
      <c r="AI80" s="20">
        <v>11.5</v>
      </c>
      <c r="AJ80" s="22">
        <v>75</v>
      </c>
      <c r="AK80" s="22">
        <v>0</v>
      </c>
      <c r="AL80" s="22">
        <v>75</v>
      </c>
      <c r="AM80" s="77">
        <f t="shared" si="7"/>
        <v>0</v>
      </c>
      <c r="AN80" s="22" t="s">
        <v>245</v>
      </c>
      <c r="AO80" s="58">
        <v>0</v>
      </c>
      <c r="AP80" t="s">
        <v>233</v>
      </c>
      <c r="AQ80" t="s">
        <v>667</v>
      </c>
      <c r="AR80" t="s">
        <v>117</v>
      </c>
      <c r="AT80" t="s">
        <v>46</v>
      </c>
      <c r="AV80" s="28"/>
      <c r="AW80" s="28"/>
      <c r="AX80" s="28"/>
      <c r="AY80" s="28"/>
      <c r="AZ80" s="28"/>
      <c r="BA80" s="28"/>
      <c r="BB80"/>
    </row>
    <row r="81" spans="1:56" x14ac:dyDescent="0.6">
      <c r="A81" s="14" t="str">
        <f t="shared" si="8"/>
        <v>N</v>
      </c>
      <c r="B81" s="14" t="str">
        <f t="shared" si="9"/>
        <v>Y</v>
      </c>
      <c r="C81" t="s">
        <v>141</v>
      </c>
      <c r="D81" t="s">
        <v>141</v>
      </c>
      <c r="E81" t="s">
        <v>63</v>
      </c>
      <c r="F81" t="str">
        <f t="shared" si="13"/>
        <v>Y_N</v>
      </c>
      <c r="G81" s="22">
        <v>42</v>
      </c>
      <c r="H81" t="s">
        <v>50</v>
      </c>
      <c r="I81" s="5">
        <v>44227</v>
      </c>
      <c r="J81" s="7">
        <v>0.55208333333333337</v>
      </c>
      <c r="K81" s="20">
        <v>11.5</v>
      </c>
      <c r="L81" s="20">
        <v>11.5</v>
      </c>
      <c r="M81" s="20">
        <v>20</v>
      </c>
      <c r="N81" t="s">
        <v>71</v>
      </c>
      <c r="O81" t="s">
        <v>161</v>
      </c>
      <c r="P81" s="22">
        <v>36</v>
      </c>
      <c r="Q81" t="s">
        <v>162</v>
      </c>
      <c r="R81" t="s">
        <v>202</v>
      </c>
      <c r="S81" s="56" t="s">
        <v>202</v>
      </c>
      <c r="T81">
        <f t="shared" si="11"/>
        <v>4</v>
      </c>
      <c r="U81" s="5">
        <v>44231</v>
      </c>
      <c r="V81" s="7">
        <v>0.4548611111111111</v>
      </c>
      <c r="W81" s="5">
        <v>44238</v>
      </c>
      <c r="X81" s="7">
        <v>0.4375</v>
      </c>
      <c r="Y81" s="22">
        <f t="shared" si="12"/>
        <v>7</v>
      </c>
      <c r="Z81" t="s">
        <v>223</v>
      </c>
      <c r="AA81" t="s">
        <v>223</v>
      </c>
      <c r="AB81">
        <v>2</v>
      </c>
      <c r="AC81" t="s">
        <v>117</v>
      </c>
      <c r="AD81" t="s">
        <v>117</v>
      </c>
      <c r="AE81" t="s">
        <v>242</v>
      </c>
      <c r="AF81" t="s">
        <v>120</v>
      </c>
      <c r="AG81" s="20">
        <v>16.5</v>
      </c>
      <c r="AH81" s="20">
        <v>16.5</v>
      </c>
      <c r="AI81" s="20">
        <v>8.5</v>
      </c>
      <c r="AJ81" s="22">
        <v>35</v>
      </c>
      <c r="AK81" s="22">
        <v>0</v>
      </c>
      <c r="AL81" s="22">
        <v>5</v>
      </c>
      <c r="AM81" s="77">
        <f t="shared" si="7"/>
        <v>0.8571428571428571</v>
      </c>
      <c r="AN81" s="22" t="s">
        <v>246</v>
      </c>
      <c r="AO81" s="58">
        <v>2</v>
      </c>
      <c r="AP81" t="s">
        <v>234</v>
      </c>
      <c r="AQ81" t="s">
        <v>667</v>
      </c>
      <c r="AR81" t="s">
        <v>117</v>
      </c>
      <c r="AT81" t="s">
        <v>46</v>
      </c>
      <c r="AV81" s="28"/>
      <c r="AW81" s="28"/>
      <c r="AX81" s="28"/>
      <c r="AY81" s="28"/>
      <c r="AZ81" s="28"/>
      <c r="BA81" s="28"/>
      <c r="BB81"/>
    </row>
    <row r="82" spans="1:56" x14ac:dyDescent="0.6">
      <c r="A82" s="14" t="str">
        <f t="shared" si="8"/>
        <v>N</v>
      </c>
      <c r="B82" s="14" t="str">
        <f t="shared" si="9"/>
        <v>Y</v>
      </c>
      <c r="C82" t="s">
        <v>141</v>
      </c>
      <c r="D82" t="s">
        <v>141</v>
      </c>
      <c r="E82" t="s">
        <v>63</v>
      </c>
      <c r="F82" t="str">
        <f t="shared" si="13"/>
        <v>Y_N</v>
      </c>
      <c r="G82" s="22">
        <v>43</v>
      </c>
      <c r="H82" s="11" t="s">
        <v>51</v>
      </c>
      <c r="I82" s="5">
        <v>44227</v>
      </c>
      <c r="J82" s="7">
        <v>0.47569444444444442</v>
      </c>
      <c r="K82" s="20">
        <v>13</v>
      </c>
      <c r="L82" s="20">
        <v>13</v>
      </c>
      <c r="M82" s="20">
        <v>19</v>
      </c>
      <c r="N82" t="s">
        <v>108</v>
      </c>
      <c r="O82" t="s">
        <v>168</v>
      </c>
      <c r="P82" s="22">
        <v>29</v>
      </c>
      <c r="Q82" t="s">
        <v>56</v>
      </c>
      <c r="R82" t="s">
        <v>199</v>
      </c>
      <c r="S82" s="56" t="s">
        <v>199</v>
      </c>
      <c r="T82">
        <f t="shared" si="11"/>
        <v>4</v>
      </c>
      <c r="U82" s="5">
        <v>44231</v>
      </c>
      <c r="V82" s="7">
        <v>0.45833333333333331</v>
      </c>
      <c r="W82" s="5">
        <v>44238</v>
      </c>
      <c r="X82" s="7">
        <v>0.4375</v>
      </c>
      <c r="Y82" s="22">
        <f t="shared" si="12"/>
        <v>7</v>
      </c>
      <c r="Z82" t="s">
        <v>216</v>
      </c>
      <c r="AA82" t="s">
        <v>216</v>
      </c>
      <c r="AB82">
        <v>1</v>
      </c>
      <c r="AC82" t="s">
        <v>66</v>
      </c>
      <c r="AD82" t="s">
        <v>351</v>
      </c>
      <c r="AE82" t="s">
        <v>242</v>
      </c>
      <c r="AF82" t="s">
        <v>67</v>
      </c>
      <c r="AG82" s="20">
        <v>10.5</v>
      </c>
      <c r="AH82" s="20">
        <v>5.5</v>
      </c>
      <c r="AI82" s="20">
        <v>12.5</v>
      </c>
      <c r="AJ82" s="22">
        <v>30</v>
      </c>
      <c r="AK82" s="22">
        <v>1</v>
      </c>
      <c r="AL82" s="22">
        <v>0</v>
      </c>
      <c r="AM82" s="77">
        <f t="shared" si="7"/>
        <v>1</v>
      </c>
      <c r="AN82" s="22" t="s">
        <v>247</v>
      </c>
      <c r="AO82" s="58">
        <v>1</v>
      </c>
      <c r="AP82" t="s">
        <v>234</v>
      </c>
      <c r="AQ82" t="s">
        <v>668</v>
      </c>
      <c r="AR82" t="s">
        <v>117</v>
      </c>
      <c r="AS82" t="s">
        <v>66</v>
      </c>
      <c r="AV82" s="28"/>
      <c r="AW82" s="28"/>
      <c r="AX82" s="28"/>
      <c r="AY82" s="28"/>
      <c r="AZ82" s="28"/>
      <c r="BA82" s="28"/>
      <c r="BB82" t="s">
        <v>175</v>
      </c>
    </row>
    <row r="83" spans="1:56" x14ac:dyDescent="0.6">
      <c r="A83" s="14" t="str">
        <f t="shared" si="8"/>
        <v>N</v>
      </c>
      <c r="B83" s="14" t="str">
        <f t="shared" si="9"/>
        <v>Y</v>
      </c>
      <c r="C83" t="s">
        <v>141</v>
      </c>
      <c r="D83" t="s">
        <v>141</v>
      </c>
      <c r="E83" t="s">
        <v>63</v>
      </c>
      <c r="F83" t="str">
        <f t="shared" si="13"/>
        <v>Y_N</v>
      </c>
      <c r="G83" s="22">
        <v>43</v>
      </c>
      <c r="H83" t="s">
        <v>51</v>
      </c>
      <c r="I83" s="5">
        <v>44227</v>
      </c>
      <c r="J83" s="7">
        <v>0.47569444444444442</v>
      </c>
      <c r="K83" s="20">
        <v>13</v>
      </c>
      <c r="L83" s="20">
        <v>13</v>
      </c>
      <c r="M83" s="20">
        <v>19</v>
      </c>
      <c r="N83" t="s">
        <v>108</v>
      </c>
      <c r="O83" t="s">
        <v>168</v>
      </c>
      <c r="P83" s="22">
        <v>29</v>
      </c>
      <c r="Q83" t="s">
        <v>56</v>
      </c>
      <c r="R83" t="s">
        <v>199</v>
      </c>
      <c r="S83" s="56" t="s">
        <v>199</v>
      </c>
      <c r="T83">
        <f t="shared" si="11"/>
        <v>4</v>
      </c>
      <c r="U83" s="5">
        <v>44231</v>
      </c>
      <c r="V83" s="7">
        <v>0.45833333333333331</v>
      </c>
      <c r="W83" s="5">
        <v>44238</v>
      </c>
      <c r="X83" s="7">
        <v>0.4375</v>
      </c>
      <c r="Y83" s="22">
        <f t="shared" si="12"/>
        <v>7</v>
      </c>
      <c r="Z83" t="s">
        <v>216</v>
      </c>
      <c r="AA83" t="s">
        <v>216</v>
      </c>
      <c r="AB83">
        <v>2</v>
      </c>
      <c r="AC83" t="s">
        <v>117</v>
      </c>
      <c r="AD83" t="s">
        <v>117</v>
      </c>
      <c r="AE83" t="s">
        <v>244</v>
      </c>
      <c r="AF83" t="s">
        <v>120</v>
      </c>
      <c r="AG83" s="20">
        <v>9</v>
      </c>
      <c r="AH83" s="20">
        <v>5</v>
      </c>
      <c r="AI83" s="20">
        <v>6</v>
      </c>
      <c r="AJ83" s="22">
        <v>25</v>
      </c>
      <c r="AK83" s="22">
        <v>0</v>
      </c>
      <c r="AL83" s="22">
        <v>5</v>
      </c>
      <c r="AM83" s="77">
        <f t="shared" si="7"/>
        <v>0.8</v>
      </c>
      <c r="AN83" s="22" t="s">
        <v>246</v>
      </c>
      <c r="AO83" s="58">
        <v>2</v>
      </c>
      <c r="AP83" t="s">
        <v>234</v>
      </c>
      <c r="AQ83" t="s">
        <v>668</v>
      </c>
      <c r="AR83" t="s">
        <v>117</v>
      </c>
      <c r="AS83" t="s">
        <v>66</v>
      </c>
      <c r="AV83" s="28"/>
      <c r="AW83" s="28"/>
      <c r="AX83" s="28"/>
      <c r="AY83" s="28"/>
      <c r="AZ83" s="28"/>
      <c r="BA83" s="28"/>
      <c r="BB83" t="s">
        <v>175</v>
      </c>
    </row>
    <row r="84" spans="1:56" x14ac:dyDescent="0.6">
      <c r="A84" s="14" t="str">
        <f t="shared" si="8"/>
        <v>N</v>
      </c>
      <c r="B84" s="14" t="str">
        <f t="shared" si="9"/>
        <v>Y</v>
      </c>
      <c r="C84" t="s">
        <v>141</v>
      </c>
      <c r="D84" t="s">
        <v>63</v>
      </c>
      <c r="E84" t="s">
        <v>63</v>
      </c>
      <c r="F84" t="str">
        <f t="shared" si="13"/>
        <v>N_N</v>
      </c>
      <c r="G84" s="22">
        <v>45</v>
      </c>
      <c r="H84" t="s">
        <v>53</v>
      </c>
      <c r="I84" s="5">
        <v>44227</v>
      </c>
      <c r="J84" s="7">
        <v>0.47569444444444442</v>
      </c>
      <c r="K84" s="20">
        <v>10</v>
      </c>
      <c r="L84" s="20">
        <v>10.5</v>
      </c>
      <c r="M84" s="20">
        <v>20</v>
      </c>
      <c r="N84" t="s">
        <v>108</v>
      </c>
      <c r="O84" t="s">
        <v>168</v>
      </c>
      <c r="P84" s="22">
        <v>30</v>
      </c>
      <c r="Q84" t="s">
        <v>79</v>
      </c>
      <c r="R84" t="s">
        <v>203</v>
      </c>
      <c r="S84" t="s">
        <v>63</v>
      </c>
      <c r="T84">
        <f t="shared" si="11"/>
        <v>4</v>
      </c>
      <c r="U84" s="5">
        <v>44231</v>
      </c>
      <c r="V84" s="7">
        <v>0.4680555555555555</v>
      </c>
      <c r="W84" s="5">
        <v>44238</v>
      </c>
      <c r="X84" s="7">
        <v>0.4375</v>
      </c>
      <c r="Y84" s="22">
        <f t="shared" si="12"/>
        <v>7</v>
      </c>
      <c r="Z84" t="s">
        <v>222</v>
      </c>
      <c r="AA84" t="s">
        <v>222</v>
      </c>
      <c r="AB84">
        <v>1</v>
      </c>
      <c r="AC84" t="s">
        <v>118</v>
      </c>
      <c r="AD84" t="s">
        <v>118</v>
      </c>
      <c r="AE84" t="s">
        <v>244</v>
      </c>
      <c r="AF84" t="s">
        <v>121</v>
      </c>
      <c r="AG84" s="20">
        <v>8</v>
      </c>
      <c r="AH84" s="20">
        <v>4</v>
      </c>
      <c r="AI84" s="20">
        <v>9.5</v>
      </c>
      <c r="AJ84" s="22">
        <v>80</v>
      </c>
      <c r="AK84" s="22">
        <v>0</v>
      </c>
      <c r="AL84" s="22">
        <v>30</v>
      </c>
      <c r="AM84" s="77">
        <f t="shared" si="7"/>
        <v>0.625</v>
      </c>
      <c r="AN84" s="22" t="s">
        <v>226</v>
      </c>
      <c r="AO84" s="58">
        <v>0.5</v>
      </c>
      <c r="AP84" t="s">
        <v>234</v>
      </c>
      <c r="AQ84" s="22" t="s">
        <v>668</v>
      </c>
      <c r="AR84" t="s">
        <v>159</v>
      </c>
      <c r="AV84" t="s">
        <v>226</v>
      </c>
      <c r="AW84" t="s">
        <v>182</v>
      </c>
      <c r="AX84" t="s">
        <v>182</v>
      </c>
      <c r="AY84" t="s">
        <v>182</v>
      </c>
      <c r="AZ84" s="28"/>
      <c r="BA84" s="28"/>
      <c r="BB84" t="s">
        <v>177</v>
      </c>
    </row>
    <row r="85" spans="1:56" x14ac:dyDescent="0.6">
      <c r="A85" s="14" t="str">
        <f t="shared" si="8"/>
        <v>N</v>
      </c>
      <c r="B85" s="14" t="str">
        <f t="shared" si="9"/>
        <v>Y</v>
      </c>
      <c r="C85" t="s">
        <v>141</v>
      </c>
      <c r="D85" t="s">
        <v>63</v>
      </c>
      <c r="E85" t="s">
        <v>63</v>
      </c>
      <c r="F85" t="str">
        <f t="shared" si="13"/>
        <v>N_N</v>
      </c>
      <c r="G85" s="22">
        <v>45</v>
      </c>
      <c r="H85" t="s">
        <v>53</v>
      </c>
      <c r="I85" s="5">
        <v>44227</v>
      </c>
      <c r="J85" s="7">
        <v>0.47569444444444442</v>
      </c>
      <c r="K85" s="20">
        <v>10</v>
      </c>
      <c r="L85" s="20">
        <v>10.5</v>
      </c>
      <c r="M85" s="20">
        <v>20</v>
      </c>
      <c r="N85" t="s">
        <v>108</v>
      </c>
      <c r="O85" t="s">
        <v>168</v>
      </c>
      <c r="P85" s="22">
        <v>30</v>
      </c>
      <c r="Q85" t="s">
        <v>79</v>
      </c>
      <c r="R85" t="s">
        <v>203</v>
      </c>
      <c r="S85" t="s">
        <v>63</v>
      </c>
      <c r="T85">
        <f t="shared" si="11"/>
        <v>4</v>
      </c>
      <c r="U85" s="5">
        <v>44231</v>
      </c>
      <c r="V85" s="7">
        <v>0.4680555555555555</v>
      </c>
      <c r="W85" s="5">
        <v>44238</v>
      </c>
      <c r="X85" s="7">
        <v>0.4375</v>
      </c>
      <c r="Y85" s="22">
        <f t="shared" si="12"/>
        <v>7</v>
      </c>
      <c r="Z85" t="s">
        <v>222</v>
      </c>
      <c r="AA85" t="s">
        <v>222</v>
      </c>
      <c r="AB85">
        <v>2</v>
      </c>
      <c r="AC85" t="s">
        <v>117</v>
      </c>
      <c r="AD85" t="s">
        <v>117</v>
      </c>
      <c r="AE85" t="s">
        <v>242</v>
      </c>
      <c r="AF85" t="s">
        <v>120</v>
      </c>
      <c r="AG85" s="20">
        <v>7.5</v>
      </c>
      <c r="AH85" s="20">
        <v>2</v>
      </c>
      <c r="AI85" s="20">
        <v>3</v>
      </c>
      <c r="AJ85" s="22">
        <v>35</v>
      </c>
      <c r="AK85" s="22">
        <v>0</v>
      </c>
      <c r="AL85" s="22">
        <v>0</v>
      </c>
      <c r="AM85" s="77">
        <f t="shared" si="7"/>
        <v>1</v>
      </c>
      <c r="AN85" s="22" t="s">
        <v>226</v>
      </c>
      <c r="AO85" s="58">
        <v>0.5</v>
      </c>
      <c r="AP85" t="s">
        <v>234</v>
      </c>
      <c r="AQ85" s="22" t="s">
        <v>668</v>
      </c>
      <c r="AR85" t="s">
        <v>159</v>
      </c>
      <c r="AV85" t="s">
        <v>226</v>
      </c>
      <c r="AW85" t="s">
        <v>182</v>
      </c>
      <c r="AX85" t="s">
        <v>182</v>
      </c>
      <c r="AY85" t="s">
        <v>182</v>
      </c>
      <c r="AZ85" s="28"/>
      <c r="BA85" s="28"/>
      <c r="BB85" t="s">
        <v>177</v>
      </c>
    </row>
    <row r="86" spans="1:56" x14ac:dyDescent="0.6">
      <c r="A86" s="14" t="str">
        <f t="shared" si="8"/>
        <v>Y</v>
      </c>
      <c r="B86" s="14" t="str">
        <f t="shared" si="9"/>
        <v>N</v>
      </c>
      <c r="C86" s="14" t="s">
        <v>141</v>
      </c>
      <c r="D86" t="s">
        <v>63</v>
      </c>
      <c r="E86" t="s">
        <v>63</v>
      </c>
      <c r="F86" t="str">
        <f t="shared" si="13"/>
        <v>N_N</v>
      </c>
      <c r="G86" s="22">
        <v>46</v>
      </c>
      <c r="H86" t="s">
        <v>49</v>
      </c>
      <c r="I86" s="5">
        <v>44238</v>
      </c>
      <c r="J86" s="7">
        <v>0.4694444444444445</v>
      </c>
      <c r="K86" s="20">
        <v>10.5</v>
      </c>
      <c r="L86" s="20">
        <v>11.5</v>
      </c>
      <c r="M86" s="20">
        <v>16</v>
      </c>
      <c r="N86" t="s">
        <v>71</v>
      </c>
      <c r="O86" t="s">
        <v>208</v>
      </c>
      <c r="P86" s="22">
        <v>44</v>
      </c>
      <c r="Q86" t="s">
        <v>145</v>
      </c>
      <c r="R86" t="s">
        <v>78</v>
      </c>
      <c r="S86" s="56" t="s">
        <v>78</v>
      </c>
      <c r="T86">
        <f t="shared" si="11"/>
        <v>7</v>
      </c>
      <c r="U86" s="5">
        <v>44245</v>
      </c>
      <c r="V86" s="7">
        <v>0.48958333333333331</v>
      </c>
      <c r="W86" s="5">
        <v>44259</v>
      </c>
      <c r="X86" s="7">
        <v>0.44930555555555557</v>
      </c>
      <c r="Y86" s="22">
        <f t="shared" si="12"/>
        <v>14</v>
      </c>
      <c r="Z86" t="s">
        <v>218</v>
      </c>
      <c r="AA86" t="s">
        <v>218</v>
      </c>
      <c r="AB86">
        <v>1</v>
      </c>
      <c r="AC86" t="s">
        <v>66</v>
      </c>
      <c r="AD86" t="s">
        <v>351</v>
      </c>
      <c r="AE86" t="s">
        <v>242</v>
      </c>
      <c r="AF86" t="s">
        <v>67</v>
      </c>
      <c r="AG86" s="20">
        <v>6.5</v>
      </c>
      <c r="AH86" s="20">
        <v>1</v>
      </c>
      <c r="AI86" s="20">
        <v>5.5</v>
      </c>
      <c r="AJ86" s="22">
        <v>80</v>
      </c>
      <c r="AK86" s="22">
        <v>0</v>
      </c>
      <c r="AL86" s="22">
        <v>0</v>
      </c>
      <c r="AM86" s="77">
        <f t="shared" si="7"/>
        <v>1</v>
      </c>
      <c r="AN86" s="22" t="s">
        <v>246</v>
      </c>
      <c r="AO86" s="58">
        <v>2</v>
      </c>
      <c r="AP86" t="s">
        <v>234</v>
      </c>
      <c r="AQ86" t="s">
        <v>667</v>
      </c>
      <c r="AR86" t="s">
        <v>66</v>
      </c>
      <c r="AT86" t="s">
        <v>119</v>
      </c>
      <c r="AV86" s="28"/>
      <c r="AW86" s="28"/>
      <c r="AX86" s="28"/>
      <c r="AY86" s="28"/>
      <c r="AZ86" s="28"/>
      <c r="BA86" s="28"/>
      <c r="BB86"/>
    </row>
    <row r="87" spans="1:56" x14ac:dyDescent="0.6">
      <c r="A87" s="14" t="str">
        <f t="shared" si="8"/>
        <v>Y</v>
      </c>
      <c r="B87" s="14" t="str">
        <f t="shared" si="9"/>
        <v>N</v>
      </c>
      <c r="C87" t="s">
        <v>141</v>
      </c>
      <c r="D87" t="s">
        <v>63</v>
      </c>
      <c r="E87" t="s">
        <v>63</v>
      </c>
      <c r="F87" t="str">
        <f t="shared" si="13"/>
        <v>N_N</v>
      </c>
      <c r="G87" s="22">
        <v>46</v>
      </c>
      <c r="H87" t="s">
        <v>49</v>
      </c>
      <c r="I87" s="5">
        <v>44238</v>
      </c>
      <c r="J87" s="7">
        <v>0.4694444444444445</v>
      </c>
      <c r="K87" s="20">
        <v>10.5</v>
      </c>
      <c r="L87" s="20">
        <v>11.5</v>
      </c>
      <c r="M87" s="20">
        <v>16</v>
      </c>
      <c r="N87" t="s">
        <v>71</v>
      </c>
      <c r="O87" t="s">
        <v>208</v>
      </c>
      <c r="P87" s="22">
        <v>44</v>
      </c>
      <c r="Q87" t="s">
        <v>145</v>
      </c>
      <c r="R87" t="s">
        <v>78</v>
      </c>
      <c r="S87" s="56" t="s">
        <v>78</v>
      </c>
      <c r="T87">
        <f t="shared" si="11"/>
        <v>7</v>
      </c>
      <c r="U87" s="5">
        <v>44245</v>
      </c>
      <c r="V87" s="7">
        <v>0.48958333333333331</v>
      </c>
      <c r="W87" s="5">
        <v>44259</v>
      </c>
      <c r="X87" s="7">
        <v>0.44930555555555557</v>
      </c>
      <c r="Y87" s="22">
        <f t="shared" si="12"/>
        <v>14</v>
      </c>
      <c r="Z87" t="s">
        <v>218</v>
      </c>
      <c r="AA87" t="s">
        <v>218</v>
      </c>
      <c r="AB87">
        <v>2</v>
      </c>
      <c r="AC87" t="s">
        <v>119</v>
      </c>
      <c r="AD87" t="s">
        <v>119</v>
      </c>
      <c r="AE87" t="s">
        <v>244</v>
      </c>
      <c r="AF87" t="s">
        <v>120</v>
      </c>
      <c r="AG87" s="20">
        <v>3</v>
      </c>
      <c r="AH87" s="20">
        <v>2.5</v>
      </c>
      <c r="AI87" s="20">
        <v>2.5</v>
      </c>
      <c r="AJ87" s="22">
        <v>55</v>
      </c>
      <c r="AK87" s="22">
        <v>0</v>
      </c>
      <c r="AL87" s="22">
        <v>55</v>
      </c>
      <c r="AM87" s="77">
        <f t="shared" si="7"/>
        <v>0</v>
      </c>
      <c r="AN87" s="22" t="s">
        <v>245</v>
      </c>
      <c r="AO87" s="58">
        <v>0</v>
      </c>
      <c r="AP87" t="s">
        <v>233</v>
      </c>
      <c r="AQ87" t="s">
        <v>667</v>
      </c>
      <c r="AR87" t="s">
        <v>66</v>
      </c>
      <c r="AT87" t="s">
        <v>119</v>
      </c>
      <c r="AV87" s="28"/>
      <c r="AW87" s="28"/>
      <c r="AX87" s="28"/>
      <c r="AY87" s="28"/>
      <c r="AZ87" s="28"/>
      <c r="BA87" s="28"/>
      <c r="BB87"/>
    </row>
    <row r="88" spans="1:56" x14ac:dyDescent="0.6">
      <c r="A88" s="14" t="str">
        <f t="shared" si="8"/>
        <v>Y</v>
      </c>
      <c r="B88" s="14" t="str">
        <f t="shared" si="9"/>
        <v>N</v>
      </c>
      <c r="C88" s="14" t="s">
        <v>141</v>
      </c>
      <c r="D88" t="s">
        <v>227</v>
      </c>
      <c r="E88" t="s">
        <v>63</v>
      </c>
      <c r="F88" t="str">
        <f t="shared" si="13"/>
        <v>half_N</v>
      </c>
      <c r="G88" s="22">
        <v>47</v>
      </c>
      <c r="H88" t="s">
        <v>50</v>
      </c>
      <c r="I88" s="5">
        <v>44238</v>
      </c>
      <c r="J88" s="7">
        <v>0.4694444444444445</v>
      </c>
      <c r="K88" s="20">
        <v>12.5</v>
      </c>
      <c r="L88" s="20">
        <v>11.5</v>
      </c>
      <c r="M88" s="20">
        <v>21</v>
      </c>
      <c r="N88" t="s">
        <v>71</v>
      </c>
      <c r="O88" t="s">
        <v>209</v>
      </c>
      <c r="P88" s="22">
        <v>44</v>
      </c>
      <c r="Q88" t="s">
        <v>22</v>
      </c>
      <c r="R88" t="s">
        <v>212</v>
      </c>
      <c r="S88" s="56" t="s">
        <v>212</v>
      </c>
      <c r="T88">
        <f t="shared" si="11"/>
        <v>7</v>
      </c>
      <c r="U88" s="5">
        <v>44245</v>
      </c>
      <c r="V88" s="7">
        <v>0.5</v>
      </c>
      <c r="W88" s="5">
        <v>44259</v>
      </c>
      <c r="X88" s="7">
        <v>0.4465277777777778</v>
      </c>
      <c r="Y88" s="22">
        <f t="shared" si="12"/>
        <v>14</v>
      </c>
      <c r="Z88" t="s">
        <v>218</v>
      </c>
      <c r="AA88" t="s">
        <v>218</v>
      </c>
      <c r="AB88">
        <v>1</v>
      </c>
      <c r="AC88" t="s">
        <v>66</v>
      </c>
      <c r="AD88" t="s">
        <v>351</v>
      </c>
      <c r="AE88" t="s">
        <v>244</v>
      </c>
      <c r="AF88" t="s">
        <v>67</v>
      </c>
      <c r="AG88" s="20">
        <v>4</v>
      </c>
      <c r="AH88" s="20">
        <v>3</v>
      </c>
      <c r="AI88" s="20">
        <v>6.5</v>
      </c>
      <c r="AJ88" s="22">
        <v>90</v>
      </c>
      <c r="AK88" s="22">
        <v>0</v>
      </c>
      <c r="AL88" s="22">
        <v>9</v>
      </c>
      <c r="AM88" s="77">
        <f t="shared" si="7"/>
        <v>0.9</v>
      </c>
      <c r="AN88" s="22" t="s">
        <v>246</v>
      </c>
      <c r="AO88" s="58">
        <v>2</v>
      </c>
      <c r="AP88" t="s">
        <v>234</v>
      </c>
      <c r="AQ88" t="s">
        <v>668</v>
      </c>
      <c r="AR88" t="s">
        <v>66</v>
      </c>
      <c r="AS88" t="s">
        <v>119</v>
      </c>
      <c r="AV88" s="28"/>
      <c r="AW88" s="28"/>
      <c r="AX88" s="28"/>
      <c r="AY88" s="28"/>
      <c r="AZ88" s="28"/>
      <c r="BA88" s="28"/>
      <c r="BB88"/>
    </row>
    <row r="89" spans="1:56" x14ac:dyDescent="0.6">
      <c r="A89" s="14" t="str">
        <f t="shared" si="8"/>
        <v>Y</v>
      </c>
      <c r="B89" s="14" t="str">
        <f t="shared" si="9"/>
        <v>N</v>
      </c>
      <c r="C89" t="s">
        <v>141</v>
      </c>
      <c r="D89" t="s">
        <v>227</v>
      </c>
      <c r="E89" t="s">
        <v>63</v>
      </c>
      <c r="F89" t="str">
        <f t="shared" si="13"/>
        <v>half_N</v>
      </c>
      <c r="G89" s="22">
        <v>47</v>
      </c>
      <c r="H89" t="s">
        <v>50</v>
      </c>
      <c r="I89" s="5">
        <v>44238</v>
      </c>
      <c r="J89" s="7">
        <v>0.4694444444444445</v>
      </c>
      <c r="K89" s="20">
        <v>12.5</v>
      </c>
      <c r="L89" s="20">
        <v>11.5</v>
      </c>
      <c r="M89" s="20">
        <v>21</v>
      </c>
      <c r="N89" t="s">
        <v>71</v>
      </c>
      <c r="O89" t="s">
        <v>209</v>
      </c>
      <c r="P89" s="22">
        <v>44</v>
      </c>
      <c r="Q89" t="s">
        <v>22</v>
      </c>
      <c r="R89" t="s">
        <v>212</v>
      </c>
      <c r="S89" s="56" t="s">
        <v>212</v>
      </c>
      <c r="T89">
        <f t="shared" si="11"/>
        <v>7</v>
      </c>
      <c r="U89" s="5">
        <v>44245</v>
      </c>
      <c r="V89" s="7">
        <v>0.5</v>
      </c>
      <c r="W89" s="5">
        <v>44259</v>
      </c>
      <c r="X89" s="7">
        <v>0.4465277777777778</v>
      </c>
      <c r="Y89" s="22">
        <f t="shared" si="12"/>
        <v>14</v>
      </c>
      <c r="Z89" t="s">
        <v>218</v>
      </c>
      <c r="AA89" t="s">
        <v>218</v>
      </c>
      <c r="AB89">
        <v>2</v>
      </c>
      <c r="AC89" t="s">
        <v>119</v>
      </c>
      <c r="AD89" t="s">
        <v>119</v>
      </c>
      <c r="AE89" t="s">
        <v>242</v>
      </c>
      <c r="AF89" t="s">
        <v>120</v>
      </c>
      <c r="AG89" s="20">
        <v>5</v>
      </c>
      <c r="AH89" s="20">
        <v>3</v>
      </c>
      <c r="AI89" s="20">
        <v>2.5</v>
      </c>
      <c r="AJ89" s="22">
        <v>60</v>
      </c>
      <c r="AK89" s="22">
        <v>0</v>
      </c>
      <c r="AL89" s="22">
        <v>5</v>
      </c>
      <c r="AM89" s="77">
        <f t="shared" si="7"/>
        <v>0.91666666666666663</v>
      </c>
      <c r="AN89" s="22" t="s">
        <v>247</v>
      </c>
      <c r="AO89" s="58">
        <v>1</v>
      </c>
      <c r="AP89" t="s">
        <v>234</v>
      </c>
      <c r="AQ89" t="s">
        <v>668</v>
      </c>
      <c r="AR89" t="s">
        <v>66</v>
      </c>
      <c r="AS89" t="s">
        <v>119</v>
      </c>
      <c r="AV89" s="28"/>
      <c r="AW89" s="28"/>
      <c r="AX89" s="28"/>
      <c r="AY89" s="28"/>
      <c r="AZ89" s="28"/>
      <c r="BA89" s="28"/>
      <c r="BB89"/>
    </row>
    <row r="90" spans="1:56" x14ac:dyDescent="0.6">
      <c r="A90" s="14" t="str">
        <f t="shared" si="8"/>
        <v>Y</v>
      </c>
      <c r="B90" s="14" t="str">
        <f t="shared" si="9"/>
        <v>N</v>
      </c>
      <c r="C90" s="14" t="s">
        <v>141</v>
      </c>
      <c r="D90" t="s">
        <v>141</v>
      </c>
      <c r="E90" t="s">
        <v>63</v>
      </c>
      <c r="F90" t="str">
        <f t="shared" si="13"/>
        <v>Y_N</v>
      </c>
      <c r="G90" s="22">
        <v>48</v>
      </c>
      <c r="H90" s="11" t="s">
        <v>51</v>
      </c>
      <c r="I90" s="5">
        <v>44238</v>
      </c>
      <c r="J90" s="7">
        <v>0.4694444444444445</v>
      </c>
      <c r="K90" s="20">
        <v>12</v>
      </c>
      <c r="L90" s="20">
        <v>11.5</v>
      </c>
      <c r="M90" s="20">
        <v>16</v>
      </c>
      <c r="N90" t="s">
        <v>71</v>
      </c>
      <c r="O90" t="s">
        <v>153</v>
      </c>
      <c r="P90" s="22">
        <v>40</v>
      </c>
      <c r="Q90" t="s">
        <v>42</v>
      </c>
      <c r="R90" t="s">
        <v>126</v>
      </c>
      <c r="S90" s="56" t="s">
        <v>126</v>
      </c>
      <c r="T90">
        <f t="shared" si="11"/>
        <v>7</v>
      </c>
      <c r="U90" s="5">
        <v>44245</v>
      </c>
      <c r="V90" s="7">
        <v>0.50486111111111109</v>
      </c>
      <c r="W90" s="5">
        <v>44259</v>
      </c>
      <c r="X90" s="7">
        <v>0.44166666666666665</v>
      </c>
      <c r="Y90" s="22">
        <f t="shared" si="12"/>
        <v>14</v>
      </c>
      <c r="Z90" t="s">
        <v>217</v>
      </c>
      <c r="AA90" t="s">
        <v>217</v>
      </c>
      <c r="AB90">
        <v>1</v>
      </c>
      <c r="AC90" t="s">
        <v>66</v>
      </c>
      <c r="AD90" t="s">
        <v>351</v>
      </c>
      <c r="AE90" t="s">
        <v>242</v>
      </c>
      <c r="AF90" t="s">
        <v>67</v>
      </c>
      <c r="AG90" s="20">
        <v>10</v>
      </c>
      <c r="AH90" s="20">
        <v>6</v>
      </c>
      <c r="AI90" s="20">
        <v>8.5</v>
      </c>
      <c r="AJ90" s="22">
        <v>80</v>
      </c>
      <c r="AK90" s="22">
        <v>1</v>
      </c>
      <c r="AL90" s="22">
        <v>0</v>
      </c>
      <c r="AM90" s="77">
        <f t="shared" si="7"/>
        <v>1</v>
      </c>
      <c r="AN90" s="22" t="s">
        <v>246</v>
      </c>
      <c r="AO90" s="58">
        <v>2</v>
      </c>
      <c r="AP90" t="s">
        <v>234</v>
      </c>
      <c r="AQ90" t="s">
        <v>668</v>
      </c>
      <c r="AR90" t="s">
        <v>66</v>
      </c>
      <c r="AS90" t="s">
        <v>118</v>
      </c>
      <c r="AV90" s="28"/>
      <c r="AW90" s="28"/>
      <c r="AX90" s="28"/>
      <c r="AY90" s="28"/>
      <c r="AZ90" s="28"/>
      <c r="BA90" s="28"/>
      <c r="BB90" t="s">
        <v>225</v>
      </c>
    </row>
    <row r="91" spans="1:56" x14ac:dyDescent="0.6">
      <c r="A91" s="14" t="str">
        <f t="shared" si="8"/>
        <v>Y</v>
      </c>
      <c r="B91" s="14" t="str">
        <f t="shared" si="9"/>
        <v>N</v>
      </c>
      <c r="C91" t="s">
        <v>141</v>
      </c>
      <c r="D91" t="s">
        <v>141</v>
      </c>
      <c r="E91" t="s">
        <v>63</v>
      </c>
      <c r="F91" t="str">
        <f t="shared" si="13"/>
        <v>Y_N</v>
      </c>
      <c r="G91" s="22">
        <v>48</v>
      </c>
      <c r="H91" t="s">
        <v>51</v>
      </c>
      <c r="I91" s="5">
        <v>44238</v>
      </c>
      <c r="J91" s="7">
        <v>0.4694444444444445</v>
      </c>
      <c r="K91" s="20">
        <v>12</v>
      </c>
      <c r="L91" s="20">
        <v>11.5</v>
      </c>
      <c r="M91" s="20">
        <v>16</v>
      </c>
      <c r="N91" t="s">
        <v>71</v>
      </c>
      <c r="O91" t="s">
        <v>153</v>
      </c>
      <c r="P91" s="22">
        <v>40</v>
      </c>
      <c r="Q91" t="s">
        <v>42</v>
      </c>
      <c r="R91" t="s">
        <v>126</v>
      </c>
      <c r="S91" s="56" t="s">
        <v>126</v>
      </c>
      <c r="T91">
        <f t="shared" si="11"/>
        <v>7</v>
      </c>
      <c r="U91" s="5">
        <v>44245</v>
      </c>
      <c r="V91" s="7">
        <v>0.50486111111111109</v>
      </c>
      <c r="W91" s="5">
        <v>44259</v>
      </c>
      <c r="X91" s="7">
        <v>0.44166666666666665</v>
      </c>
      <c r="Y91" s="22">
        <f t="shared" si="12"/>
        <v>14</v>
      </c>
      <c r="Z91" t="s">
        <v>217</v>
      </c>
      <c r="AA91" t="s">
        <v>217</v>
      </c>
      <c r="AB91">
        <v>2</v>
      </c>
      <c r="AC91" t="s">
        <v>118</v>
      </c>
      <c r="AD91" t="s">
        <v>118</v>
      </c>
      <c r="AE91" t="s">
        <v>244</v>
      </c>
      <c r="AF91" t="s">
        <v>121</v>
      </c>
      <c r="AG91" s="20">
        <v>11.5</v>
      </c>
      <c r="AH91" s="20">
        <v>7.5</v>
      </c>
      <c r="AI91" s="20">
        <v>8.5</v>
      </c>
      <c r="AJ91" s="22">
        <v>50</v>
      </c>
      <c r="AK91" s="22">
        <v>0</v>
      </c>
      <c r="AL91" s="22">
        <v>30</v>
      </c>
      <c r="AM91" s="77">
        <f t="shared" si="7"/>
        <v>0.4</v>
      </c>
      <c r="AN91" s="22" t="s">
        <v>247</v>
      </c>
      <c r="AO91" s="58">
        <v>1</v>
      </c>
      <c r="AP91" t="s">
        <v>234</v>
      </c>
      <c r="AQ91" t="s">
        <v>668</v>
      </c>
      <c r="AR91" t="s">
        <v>66</v>
      </c>
      <c r="AS91" t="s">
        <v>118</v>
      </c>
      <c r="AV91" s="28"/>
      <c r="AW91" s="28"/>
      <c r="AX91" s="28"/>
      <c r="AY91" s="28"/>
      <c r="AZ91" s="28"/>
      <c r="BA91" s="28"/>
      <c r="BB91" t="s">
        <v>225</v>
      </c>
    </row>
    <row r="92" spans="1:56" x14ac:dyDescent="0.6">
      <c r="A92" s="14" t="str">
        <f t="shared" si="8"/>
        <v>N</v>
      </c>
      <c r="B92" s="14" t="str">
        <f t="shared" si="9"/>
        <v>N</v>
      </c>
      <c r="C92" s="14" t="s">
        <v>141</v>
      </c>
      <c r="D92" s="14" t="s">
        <v>141</v>
      </c>
      <c r="E92" t="s">
        <v>63</v>
      </c>
      <c r="F92" t="str">
        <f t="shared" si="13"/>
        <v>Y_N</v>
      </c>
      <c r="G92" s="22">
        <v>51</v>
      </c>
      <c r="H92" t="s">
        <v>250</v>
      </c>
      <c r="I92" s="5">
        <v>44259</v>
      </c>
      <c r="J92" s="7">
        <v>0.44791666666666669</v>
      </c>
      <c r="K92" s="20">
        <v>11.5</v>
      </c>
      <c r="L92" s="20">
        <v>11.5</v>
      </c>
      <c r="M92" s="20">
        <v>20</v>
      </c>
      <c r="N92" t="s">
        <v>88</v>
      </c>
      <c r="O92" t="s">
        <v>251</v>
      </c>
      <c r="P92" s="22">
        <v>32</v>
      </c>
      <c r="Q92" t="s">
        <v>79</v>
      </c>
      <c r="R92" t="s">
        <v>252</v>
      </c>
      <c r="S92" t="s">
        <v>63</v>
      </c>
      <c r="T92">
        <f t="shared" si="11"/>
        <v>14</v>
      </c>
      <c r="U92" s="5">
        <v>44273</v>
      </c>
      <c r="V92" s="7">
        <v>0.67291666666666661</v>
      </c>
      <c r="W92" s="5">
        <v>44283</v>
      </c>
      <c r="X92" s="7">
        <v>0.52083333333333337</v>
      </c>
      <c r="Y92" s="22">
        <f t="shared" si="12"/>
        <v>10</v>
      </c>
      <c r="Z92" t="s">
        <v>253</v>
      </c>
      <c r="AA92" t="s">
        <v>253</v>
      </c>
      <c r="AB92">
        <v>1</v>
      </c>
      <c r="AC92" t="s">
        <v>119</v>
      </c>
      <c r="AD92" t="s">
        <v>119</v>
      </c>
      <c r="AE92" t="s">
        <v>244</v>
      </c>
      <c r="AF92" t="s">
        <v>120</v>
      </c>
      <c r="AG92" s="20">
        <v>8</v>
      </c>
      <c r="AH92" s="20">
        <v>6.5</v>
      </c>
      <c r="AI92" s="20">
        <v>2.5</v>
      </c>
      <c r="AJ92" s="22">
        <v>30</v>
      </c>
      <c r="AK92" s="22">
        <v>0</v>
      </c>
      <c r="AL92" s="22">
        <v>0</v>
      </c>
      <c r="AM92" s="77">
        <f t="shared" si="7"/>
        <v>1</v>
      </c>
      <c r="AN92" s="22" t="s">
        <v>247</v>
      </c>
      <c r="AO92" s="58">
        <v>1</v>
      </c>
      <c r="AP92" s="22" t="s">
        <v>234</v>
      </c>
      <c r="AQ92" s="22" t="s">
        <v>668</v>
      </c>
      <c r="AR92" t="s">
        <v>117</v>
      </c>
      <c r="AS92" s="22" t="s">
        <v>119</v>
      </c>
      <c r="AV92" s="28"/>
      <c r="AW92" s="28"/>
      <c r="AX92" s="28"/>
      <c r="AY92" s="28"/>
      <c r="AZ92" s="28"/>
      <c r="BA92" s="28"/>
      <c r="BB92" s="22" t="s">
        <v>263</v>
      </c>
      <c r="BC92" s="20"/>
    </row>
    <row r="93" spans="1:56" x14ac:dyDescent="0.6">
      <c r="A93" s="14" t="str">
        <f t="shared" si="8"/>
        <v>N</v>
      </c>
      <c r="B93" s="14" t="str">
        <f t="shared" si="9"/>
        <v>N</v>
      </c>
      <c r="C93" s="14" t="s">
        <v>141</v>
      </c>
      <c r="D93" s="14" t="s">
        <v>141</v>
      </c>
      <c r="E93" t="s">
        <v>63</v>
      </c>
      <c r="F93" t="str">
        <f t="shared" si="13"/>
        <v>Y_N</v>
      </c>
      <c r="G93" s="22">
        <v>51</v>
      </c>
      <c r="H93" t="s">
        <v>250</v>
      </c>
      <c r="I93" s="5">
        <v>44259</v>
      </c>
      <c r="J93" s="7">
        <v>0.44791666666666669</v>
      </c>
      <c r="K93" s="20">
        <v>11.5</v>
      </c>
      <c r="L93" s="20">
        <v>11.5</v>
      </c>
      <c r="M93" s="20">
        <v>20</v>
      </c>
      <c r="N93" t="s">
        <v>88</v>
      </c>
      <c r="O93" t="s">
        <v>251</v>
      </c>
      <c r="P93" s="22">
        <v>32</v>
      </c>
      <c r="Q93" t="s">
        <v>79</v>
      </c>
      <c r="R93" t="s">
        <v>252</v>
      </c>
      <c r="S93" t="s">
        <v>63</v>
      </c>
      <c r="T93">
        <f t="shared" si="11"/>
        <v>14</v>
      </c>
      <c r="U93" s="5">
        <v>44273</v>
      </c>
      <c r="V93" s="7">
        <v>0.67291666666666661</v>
      </c>
      <c r="W93" s="5">
        <v>44283</v>
      </c>
      <c r="X93" s="7">
        <v>0.52083333333333337</v>
      </c>
      <c r="Y93" s="22">
        <f t="shared" si="12"/>
        <v>10</v>
      </c>
      <c r="Z93" t="s">
        <v>253</v>
      </c>
      <c r="AA93" t="s">
        <v>253</v>
      </c>
      <c r="AB93">
        <v>2</v>
      </c>
      <c r="AC93" t="s">
        <v>117</v>
      </c>
      <c r="AD93" t="s">
        <v>117</v>
      </c>
      <c r="AE93" t="s">
        <v>242</v>
      </c>
      <c r="AF93" t="s">
        <v>120</v>
      </c>
      <c r="AG93" s="20">
        <v>10</v>
      </c>
      <c r="AH93" s="20">
        <v>9.5</v>
      </c>
      <c r="AI93" s="20">
        <v>4</v>
      </c>
      <c r="AJ93" s="22">
        <v>40</v>
      </c>
      <c r="AK93" s="22">
        <v>0</v>
      </c>
      <c r="AL93" s="22">
        <v>0</v>
      </c>
      <c r="AM93" s="77">
        <f t="shared" si="7"/>
        <v>1</v>
      </c>
      <c r="AN93" s="22" t="s">
        <v>246</v>
      </c>
      <c r="AO93" s="58">
        <v>2</v>
      </c>
      <c r="AP93" t="s">
        <v>234</v>
      </c>
      <c r="AQ93" t="s">
        <v>668</v>
      </c>
      <c r="AR93" t="s">
        <v>117</v>
      </c>
      <c r="AS93" t="s">
        <v>119</v>
      </c>
      <c r="AV93" s="28"/>
      <c r="AW93" s="28"/>
      <c r="AX93" s="28"/>
      <c r="AY93" s="28"/>
      <c r="AZ93" s="28"/>
      <c r="BA93" s="28"/>
      <c r="BB93" s="22" t="s">
        <v>263</v>
      </c>
      <c r="BC93" s="20"/>
    </row>
    <row r="94" spans="1:56" x14ac:dyDescent="0.6">
      <c r="A94" s="14" t="str">
        <f t="shared" si="8"/>
        <v>N</v>
      </c>
      <c r="B94" s="14" t="str">
        <f t="shared" si="9"/>
        <v>N</v>
      </c>
      <c r="C94" s="14" t="s">
        <v>141</v>
      </c>
      <c r="D94" s="14" t="s">
        <v>63</v>
      </c>
      <c r="E94" t="s">
        <v>63</v>
      </c>
      <c r="F94" t="str">
        <f t="shared" si="13"/>
        <v>N_N</v>
      </c>
      <c r="G94" s="22">
        <v>52</v>
      </c>
      <c r="H94" t="s">
        <v>51</v>
      </c>
      <c r="I94" s="5">
        <v>44259</v>
      </c>
      <c r="J94" s="7">
        <v>0.44791666666666669</v>
      </c>
      <c r="K94" s="20">
        <v>11</v>
      </c>
      <c r="L94" s="20">
        <v>11.5</v>
      </c>
      <c r="M94" s="20">
        <v>19</v>
      </c>
      <c r="N94" t="s">
        <v>71</v>
      </c>
      <c r="O94" t="s">
        <v>254</v>
      </c>
      <c r="P94" s="22">
        <v>33</v>
      </c>
      <c r="Q94" t="s">
        <v>147</v>
      </c>
      <c r="R94" t="s">
        <v>255</v>
      </c>
      <c r="S94" t="s">
        <v>63</v>
      </c>
      <c r="T94">
        <f t="shared" si="11"/>
        <v>14</v>
      </c>
      <c r="U94" s="5">
        <v>44273</v>
      </c>
      <c r="V94" s="7">
        <v>0.67708333333333337</v>
      </c>
      <c r="W94" s="5">
        <v>44283</v>
      </c>
      <c r="X94" s="7">
        <v>0.5229166666666667</v>
      </c>
      <c r="Y94" s="22">
        <f t="shared" si="12"/>
        <v>10</v>
      </c>
      <c r="Z94" t="s">
        <v>223</v>
      </c>
      <c r="AA94" t="s">
        <v>223</v>
      </c>
      <c r="AB94">
        <v>1</v>
      </c>
      <c r="AC94" t="s">
        <v>46</v>
      </c>
      <c r="AD94" t="s">
        <v>352</v>
      </c>
      <c r="AE94" t="s">
        <v>242</v>
      </c>
      <c r="AF94" t="s">
        <v>47</v>
      </c>
      <c r="AG94" s="20">
        <v>6.5</v>
      </c>
      <c r="AH94" s="20">
        <v>5</v>
      </c>
      <c r="AI94" s="20">
        <v>2.5</v>
      </c>
      <c r="AJ94" s="22">
        <v>60</v>
      </c>
      <c r="AK94" s="22">
        <v>0</v>
      </c>
      <c r="AL94" s="22">
        <v>0</v>
      </c>
      <c r="AM94" s="77">
        <f t="shared" si="7"/>
        <v>1</v>
      </c>
      <c r="AN94" s="22" t="s">
        <v>226</v>
      </c>
      <c r="AO94" s="58">
        <v>0.5</v>
      </c>
      <c r="AP94" s="22" t="s">
        <v>234</v>
      </c>
      <c r="AQ94" s="22" t="s">
        <v>668</v>
      </c>
      <c r="AR94" s="22" t="s">
        <v>159</v>
      </c>
      <c r="AV94" t="s">
        <v>226</v>
      </c>
      <c r="AW94" t="s">
        <v>182</v>
      </c>
      <c r="AX94" t="s">
        <v>182</v>
      </c>
      <c r="AY94" t="s">
        <v>182</v>
      </c>
      <c r="AZ94" s="28"/>
      <c r="BA94" s="28"/>
      <c r="BB94"/>
      <c r="BD94" s="20"/>
    </row>
    <row r="95" spans="1:56" x14ac:dyDescent="0.6">
      <c r="A95" s="14" t="str">
        <f t="shared" si="8"/>
        <v>N</v>
      </c>
      <c r="B95" s="14" t="str">
        <f t="shared" si="9"/>
        <v>N</v>
      </c>
      <c r="C95" s="14" t="s">
        <v>141</v>
      </c>
      <c r="D95" s="14" t="s">
        <v>63</v>
      </c>
      <c r="E95" t="s">
        <v>63</v>
      </c>
      <c r="F95" t="str">
        <f t="shared" si="13"/>
        <v>N_N</v>
      </c>
      <c r="G95" s="22">
        <v>52</v>
      </c>
      <c r="H95" t="s">
        <v>51</v>
      </c>
      <c r="I95" s="5">
        <v>44259</v>
      </c>
      <c r="J95" s="7">
        <v>0.44791666666666669</v>
      </c>
      <c r="K95" s="20">
        <v>11</v>
      </c>
      <c r="L95" s="20">
        <v>11.5</v>
      </c>
      <c r="M95" s="20">
        <v>19</v>
      </c>
      <c r="N95" t="s">
        <v>71</v>
      </c>
      <c r="O95" t="s">
        <v>254</v>
      </c>
      <c r="P95" s="22">
        <v>33</v>
      </c>
      <c r="Q95" t="s">
        <v>147</v>
      </c>
      <c r="R95" t="s">
        <v>255</v>
      </c>
      <c r="S95" t="s">
        <v>63</v>
      </c>
      <c r="T95">
        <f t="shared" si="11"/>
        <v>14</v>
      </c>
      <c r="U95" s="5">
        <v>44273</v>
      </c>
      <c r="V95" s="7">
        <v>0.67708333333333337</v>
      </c>
      <c r="W95" s="5">
        <v>44283</v>
      </c>
      <c r="X95" s="7">
        <v>0.5229166666666667</v>
      </c>
      <c r="Y95" s="22">
        <f t="shared" si="12"/>
        <v>10</v>
      </c>
      <c r="Z95" t="s">
        <v>223</v>
      </c>
      <c r="AA95" t="s">
        <v>223</v>
      </c>
      <c r="AB95">
        <v>2</v>
      </c>
      <c r="AC95" t="s">
        <v>117</v>
      </c>
      <c r="AD95" t="s">
        <v>117</v>
      </c>
      <c r="AE95" t="s">
        <v>244</v>
      </c>
      <c r="AF95" t="s">
        <v>120</v>
      </c>
      <c r="AG95" s="20">
        <v>13.5</v>
      </c>
      <c r="AH95" s="20">
        <v>5</v>
      </c>
      <c r="AI95" s="20">
        <v>7</v>
      </c>
      <c r="AJ95" s="22">
        <v>35</v>
      </c>
      <c r="AK95" s="22">
        <v>0</v>
      </c>
      <c r="AL95" s="22">
        <v>0</v>
      </c>
      <c r="AM95" s="77">
        <f t="shared" si="7"/>
        <v>1</v>
      </c>
      <c r="AN95" s="22" t="s">
        <v>226</v>
      </c>
      <c r="AO95" s="58">
        <v>0.5</v>
      </c>
      <c r="AP95" t="s">
        <v>234</v>
      </c>
      <c r="AQ95" t="s">
        <v>668</v>
      </c>
      <c r="AR95" t="s">
        <v>159</v>
      </c>
      <c r="AV95" t="s">
        <v>226</v>
      </c>
      <c r="AW95" t="s">
        <v>182</v>
      </c>
      <c r="AX95" t="s">
        <v>182</v>
      </c>
      <c r="AY95" t="s">
        <v>182</v>
      </c>
      <c r="AZ95" s="28"/>
      <c r="BA95" s="28"/>
      <c r="BB95"/>
      <c r="BD95" s="20"/>
    </row>
    <row r="96" spans="1:56" x14ac:dyDescent="0.6">
      <c r="A96" s="14" t="str">
        <f t="shared" si="8"/>
        <v>N</v>
      </c>
      <c r="B96" s="14" t="str">
        <f t="shared" si="9"/>
        <v>N</v>
      </c>
      <c r="C96" s="14" t="s">
        <v>141</v>
      </c>
      <c r="D96" s="14" t="s">
        <v>141</v>
      </c>
      <c r="E96" t="s">
        <v>63</v>
      </c>
      <c r="F96" t="str">
        <f t="shared" si="13"/>
        <v>Y_N</v>
      </c>
      <c r="G96" s="22">
        <v>53</v>
      </c>
      <c r="H96" t="s">
        <v>50</v>
      </c>
      <c r="I96" s="5">
        <v>44259</v>
      </c>
      <c r="J96" s="7">
        <v>0.44791666666666669</v>
      </c>
      <c r="K96" s="20">
        <v>12</v>
      </c>
      <c r="L96" s="20">
        <v>11</v>
      </c>
      <c r="M96" s="20">
        <v>20</v>
      </c>
      <c r="N96" t="s">
        <v>71</v>
      </c>
      <c r="O96" t="s">
        <v>256</v>
      </c>
      <c r="P96" s="22">
        <v>34</v>
      </c>
      <c r="Q96" t="s">
        <v>79</v>
      </c>
      <c r="R96" t="s">
        <v>257</v>
      </c>
      <c r="S96" t="s">
        <v>63</v>
      </c>
      <c r="T96">
        <f t="shared" si="11"/>
        <v>14</v>
      </c>
      <c r="U96" s="5">
        <v>44273</v>
      </c>
      <c r="V96" s="7">
        <v>0.67847222222222225</v>
      </c>
      <c r="W96" s="5">
        <v>44283</v>
      </c>
      <c r="X96" s="7">
        <v>0.52569444444444446</v>
      </c>
      <c r="Y96" s="22">
        <f t="shared" si="12"/>
        <v>10</v>
      </c>
      <c r="Z96" t="s">
        <v>253</v>
      </c>
      <c r="AA96" t="s">
        <v>253</v>
      </c>
      <c r="AB96">
        <v>1</v>
      </c>
      <c r="AC96" t="s">
        <v>119</v>
      </c>
      <c r="AD96" t="s">
        <v>119</v>
      </c>
      <c r="AE96" t="s">
        <v>244</v>
      </c>
      <c r="AF96" t="s">
        <v>120</v>
      </c>
      <c r="AG96" s="20">
        <v>11.5</v>
      </c>
      <c r="AH96" s="20">
        <v>10.5</v>
      </c>
      <c r="AI96" s="20">
        <v>5.5</v>
      </c>
      <c r="AJ96" s="22">
        <v>40</v>
      </c>
      <c r="AK96" s="22">
        <v>0</v>
      </c>
      <c r="AL96" s="22">
        <v>0</v>
      </c>
      <c r="AM96" s="77">
        <f t="shared" si="7"/>
        <v>1</v>
      </c>
      <c r="AN96" s="22" t="s">
        <v>226</v>
      </c>
      <c r="AO96" s="58">
        <v>0.5</v>
      </c>
      <c r="AP96" s="22" t="s">
        <v>234</v>
      </c>
      <c r="AQ96" s="22" t="s">
        <v>668</v>
      </c>
      <c r="AR96" s="22" t="s">
        <v>159</v>
      </c>
      <c r="AV96" s="28"/>
      <c r="AW96" s="28"/>
      <c r="AX96" s="28"/>
      <c r="AY96" s="28"/>
      <c r="AZ96" s="28"/>
      <c r="BA96" s="28"/>
      <c r="BB96" t="s">
        <v>264</v>
      </c>
      <c r="BD96" s="20"/>
    </row>
    <row r="97" spans="1:56" x14ac:dyDescent="0.6">
      <c r="A97" s="14" t="str">
        <f t="shared" si="8"/>
        <v>N</v>
      </c>
      <c r="B97" s="14" t="str">
        <f t="shared" si="9"/>
        <v>N</v>
      </c>
      <c r="C97" s="14" t="s">
        <v>141</v>
      </c>
      <c r="D97" s="14" t="s">
        <v>141</v>
      </c>
      <c r="E97" t="s">
        <v>63</v>
      </c>
      <c r="F97" t="str">
        <f t="shared" si="13"/>
        <v>Y_N</v>
      </c>
      <c r="G97" s="22">
        <v>53</v>
      </c>
      <c r="H97" t="s">
        <v>50</v>
      </c>
      <c r="I97" s="5">
        <v>44259</v>
      </c>
      <c r="J97" s="7">
        <v>0.44791666666666669</v>
      </c>
      <c r="K97" s="20">
        <v>12</v>
      </c>
      <c r="L97" s="20">
        <v>11</v>
      </c>
      <c r="M97" s="20">
        <v>20</v>
      </c>
      <c r="N97" t="s">
        <v>71</v>
      </c>
      <c r="O97" t="s">
        <v>256</v>
      </c>
      <c r="P97" s="22">
        <v>34</v>
      </c>
      <c r="Q97" t="s">
        <v>79</v>
      </c>
      <c r="R97" t="s">
        <v>257</v>
      </c>
      <c r="S97" t="s">
        <v>63</v>
      </c>
      <c r="T97">
        <f t="shared" si="11"/>
        <v>14</v>
      </c>
      <c r="U97" s="5">
        <v>44273</v>
      </c>
      <c r="V97" s="7">
        <v>0.67847222222222225</v>
      </c>
      <c r="W97" s="5">
        <v>44283</v>
      </c>
      <c r="X97" s="7">
        <v>0.52569444444444446</v>
      </c>
      <c r="Y97" s="22">
        <f t="shared" si="12"/>
        <v>10</v>
      </c>
      <c r="Z97" t="s">
        <v>253</v>
      </c>
      <c r="AA97" t="s">
        <v>253</v>
      </c>
      <c r="AB97">
        <v>2</v>
      </c>
      <c r="AC97" t="s">
        <v>117</v>
      </c>
      <c r="AD97" t="s">
        <v>117</v>
      </c>
      <c r="AE97" t="s">
        <v>242</v>
      </c>
      <c r="AF97" t="s">
        <v>120</v>
      </c>
      <c r="AG97" s="20">
        <v>12</v>
      </c>
      <c r="AH97" s="20">
        <v>7</v>
      </c>
      <c r="AI97" s="20">
        <v>4.5</v>
      </c>
      <c r="AJ97" s="22">
        <v>35</v>
      </c>
      <c r="AK97" s="22">
        <v>0</v>
      </c>
      <c r="AL97" s="22">
        <v>0</v>
      </c>
      <c r="AM97" s="77">
        <f t="shared" si="7"/>
        <v>1</v>
      </c>
      <c r="AN97" s="22" t="s">
        <v>226</v>
      </c>
      <c r="AO97" s="58">
        <v>0.5</v>
      </c>
      <c r="AP97" t="s">
        <v>234</v>
      </c>
      <c r="AQ97" s="22" t="s">
        <v>668</v>
      </c>
      <c r="AR97" s="22" t="s">
        <v>159</v>
      </c>
      <c r="AV97" s="28"/>
      <c r="AW97" s="28"/>
      <c r="AX97" s="28"/>
      <c r="AY97" s="28"/>
      <c r="AZ97" s="28"/>
      <c r="BA97" s="28"/>
      <c r="BB97" t="s">
        <v>264</v>
      </c>
      <c r="BD97" s="20"/>
    </row>
    <row r="98" spans="1:56" x14ac:dyDescent="0.6">
      <c r="A98" s="14" t="str">
        <f t="shared" si="8"/>
        <v>N</v>
      </c>
      <c r="B98" s="14" t="str">
        <f t="shared" si="9"/>
        <v>N</v>
      </c>
      <c r="C98" s="14" t="s">
        <v>141</v>
      </c>
      <c r="D98" s="14" t="s">
        <v>63</v>
      </c>
      <c r="E98" t="s">
        <v>63</v>
      </c>
      <c r="F98" t="str">
        <f>D98&amp;"_"&amp;E98</f>
        <v>N_N</v>
      </c>
      <c r="G98" s="22">
        <v>54</v>
      </c>
      <c r="H98" t="s">
        <v>49</v>
      </c>
      <c r="I98" s="5">
        <v>44259</v>
      </c>
      <c r="J98" s="7">
        <v>0.44791666666666669</v>
      </c>
      <c r="K98" s="20">
        <v>10</v>
      </c>
      <c r="L98" s="20">
        <v>10.5</v>
      </c>
      <c r="M98" s="20">
        <v>17</v>
      </c>
      <c r="N98" t="s">
        <v>71</v>
      </c>
      <c r="O98" t="s">
        <v>153</v>
      </c>
      <c r="P98" s="22">
        <v>50</v>
      </c>
      <c r="Q98" t="s">
        <v>258</v>
      </c>
      <c r="R98" t="s">
        <v>259</v>
      </c>
      <c r="S98" s="56" t="s">
        <v>259</v>
      </c>
      <c r="T98">
        <f t="shared" si="11"/>
        <v>14</v>
      </c>
      <c r="U98" s="5">
        <v>44273</v>
      </c>
      <c r="V98" s="7">
        <v>0.67708333333333337</v>
      </c>
      <c r="W98" s="5">
        <v>44283</v>
      </c>
      <c r="X98" s="7">
        <v>0.52847222222222223</v>
      </c>
      <c r="Y98" s="22">
        <f t="shared" si="12"/>
        <v>10</v>
      </c>
      <c r="Z98" t="s">
        <v>253</v>
      </c>
      <c r="AA98" t="s">
        <v>253</v>
      </c>
      <c r="AB98">
        <v>1</v>
      </c>
      <c r="AC98" t="s">
        <v>117</v>
      </c>
      <c r="AD98" t="s">
        <v>117</v>
      </c>
      <c r="AE98" t="s">
        <v>244</v>
      </c>
      <c r="AF98" t="s">
        <v>120</v>
      </c>
      <c r="AG98" s="20">
        <v>8</v>
      </c>
      <c r="AH98" s="20">
        <v>6</v>
      </c>
      <c r="AI98" s="20">
        <v>4</v>
      </c>
      <c r="AJ98" s="22">
        <v>25</v>
      </c>
      <c r="AK98" s="22">
        <v>0</v>
      </c>
      <c r="AL98" s="22">
        <v>25</v>
      </c>
      <c r="AM98" s="77">
        <f t="shared" si="7"/>
        <v>0</v>
      </c>
      <c r="AN98" s="22" t="s">
        <v>245</v>
      </c>
      <c r="AO98" s="58">
        <v>0</v>
      </c>
      <c r="AP98" s="22" t="s">
        <v>233</v>
      </c>
      <c r="AQ98" s="22" t="s">
        <v>667</v>
      </c>
      <c r="AR98" s="22" t="s">
        <v>119</v>
      </c>
      <c r="AT98" s="22" t="s">
        <v>117</v>
      </c>
      <c r="AU98" s="22"/>
      <c r="AV98" t="s">
        <v>335</v>
      </c>
      <c r="AW98" t="s">
        <v>182</v>
      </c>
      <c r="AX98" t="s">
        <v>182</v>
      </c>
      <c r="AY98" t="s">
        <v>182</v>
      </c>
      <c r="AZ98" s="28"/>
      <c r="BA98" s="28"/>
      <c r="BB98"/>
      <c r="BD98" s="20"/>
    </row>
    <row r="99" spans="1:56" x14ac:dyDescent="0.6">
      <c r="A99" s="14" t="str">
        <f t="shared" si="8"/>
        <v>N</v>
      </c>
      <c r="B99" s="14" t="str">
        <f t="shared" si="9"/>
        <v>N</v>
      </c>
      <c r="C99" s="14" t="s">
        <v>141</v>
      </c>
      <c r="D99" s="14" t="s">
        <v>63</v>
      </c>
      <c r="E99" t="s">
        <v>63</v>
      </c>
      <c r="F99" t="str">
        <f t="shared" ref="F99:F129" si="14">D99&amp;"_"&amp;E99</f>
        <v>N_N</v>
      </c>
      <c r="G99" s="22">
        <v>54</v>
      </c>
      <c r="H99" t="s">
        <v>49</v>
      </c>
      <c r="I99" s="5">
        <v>44259</v>
      </c>
      <c r="J99" s="7">
        <v>0.44791666666666669</v>
      </c>
      <c r="K99" s="20">
        <v>10</v>
      </c>
      <c r="L99" s="20">
        <v>10.5</v>
      </c>
      <c r="M99" s="20">
        <v>17</v>
      </c>
      <c r="N99" t="s">
        <v>71</v>
      </c>
      <c r="O99" t="s">
        <v>153</v>
      </c>
      <c r="P99" s="22">
        <v>50</v>
      </c>
      <c r="Q99" t="s">
        <v>258</v>
      </c>
      <c r="R99" t="s">
        <v>259</v>
      </c>
      <c r="S99" s="56" t="s">
        <v>259</v>
      </c>
      <c r="T99">
        <f t="shared" si="11"/>
        <v>14</v>
      </c>
      <c r="U99" s="5">
        <v>44273</v>
      </c>
      <c r="V99" s="7">
        <v>0.67708333333333337</v>
      </c>
      <c r="W99" s="5">
        <v>44283</v>
      </c>
      <c r="X99" s="7">
        <v>0.52847222222222223</v>
      </c>
      <c r="Y99" s="22">
        <f t="shared" si="12"/>
        <v>10</v>
      </c>
      <c r="Z99" t="s">
        <v>253</v>
      </c>
      <c r="AA99" t="s">
        <v>253</v>
      </c>
      <c r="AB99">
        <v>2</v>
      </c>
      <c r="AC99" t="s">
        <v>119</v>
      </c>
      <c r="AD99" t="s">
        <v>119</v>
      </c>
      <c r="AE99" t="s">
        <v>242</v>
      </c>
      <c r="AF99" t="s">
        <v>120</v>
      </c>
      <c r="AG99" s="20">
        <v>5</v>
      </c>
      <c r="AH99" s="20">
        <v>3</v>
      </c>
      <c r="AI99" s="20">
        <v>2.5</v>
      </c>
      <c r="AJ99" s="22">
        <v>20</v>
      </c>
      <c r="AK99" s="22">
        <v>0</v>
      </c>
      <c r="AL99" s="22">
        <v>0</v>
      </c>
      <c r="AM99" s="77">
        <f t="shared" si="7"/>
        <v>1</v>
      </c>
      <c r="AN99" s="22" t="s">
        <v>246</v>
      </c>
      <c r="AO99" s="58">
        <v>2</v>
      </c>
      <c r="AP99" t="s">
        <v>234</v>
      </c>
      <c r="AQ99" s="22" t="s">
        <v>667</v>
      </c>
      <c r="AR99" s="22" t="s">
        <v>119</v>
      </c>
      <c r="AT99" s="22" t="s">
        <v>117</v>
      </c>
      <c r="AU99" s="22"/>
      <c r="AV99" t="s">
        <v>335</v>
      </c>
      <c r="AW99" t="s">
        <v>182</v>
      </c>
      <c r="AX99" t="s">
        <v>182</v>
      </c>
      <c r="AY99" t="s">
        <v>182</v>
      </c>
      <c r="AZ99" s="28"/>
      <c r="BA99" s="28"/>
      <c r="BB99"/>
      <c r="BD99" s="20"/>
    </row>
    <row r="100" spans="1:56" x14ac:dyDescent="0.6">
      <c r="A100" s="14" t="str">
        <f t="shared" si="8"/>
        <v>N</v>
      </c>
      <c r="B100" s="14" t="str">
        <f t="shared" si="9"/>
        <v>N</v>
      </c>
      <c r="C100" s="14" t="s">
        <v>141</v>
      </c>
      <c r="D100" s="14" t="s">
        <v>141</v>
      </c>
      <c r="E100" t="s">
        <v>63</v>
      </c>
      <c r="F100" t="str">
        <f t="shared" si="14"/>
        <v>Y_N</v>
      </c>
      <c r="G100" s="22">
        <v>55</v>
      </c>
      <c r="H100" t="s">
        <v>260</v>
      </c>
      <c r="I100" s="5">
        <v>44259</v>
      </c>
      <c r="J100" s="7">
        <v>0.44791666666666669</v>
      </c>
      <c r="K100" s="20">
        <v>13</v>
      </c>
      <c r="L100" s="20">
        <v>13</v>
      </c>
      <c r="M100" s="20">
        <v>21</v>
      </c>
      <c r="N100" t="s">
        <v>71</v>
      </c>
      <c r="O100" t="s">
        <v>261</v>
      </c>
      <c r="P100" s="22">
        <v>36</v>
      </c>
      <c r="Q100" t="s">
        <v>262</v>
      </c>
      <c r="R100" t="s">
        <v>207</v>
      </c>
      <c r="S100" s="56" t="s">
        <v>207</v>
      </c>
      <c r="T100">
        <f t="shared" si="11"/>
        <v>14</v>
      </c>
      <c r="U100" s="5">
        <v>44273</v>
      </c>
      <c r="V100" s="7">
        <v>0.67569444444444438</v>
      </c>
      <c r="W100" s="5">
        <v>44283</v>
      </c>
      <c r="X100" s="7">
        <v>0.53402777777777777</v>
      </c>
      <c r="Y100" s="22">
        <f t="shared" si="12"/>
        <v>10</v>
      </c>
      <c r="Z100" t="s">
        <v>253</v>
      </c>
      <c r="AA100" t="s">
        <v>253</v>
      </c>
      <c r="AB100">
        <v>1</v>
      </c>
      <c r="AC100" t="s">
        <v>119</v>
      </c>
      <c r="AD100" t="s">
        <v>119</v>
      </c>
      <c r="AE100" t="s">
        <v>242</v>
      </c>
      <c r="AF100" t="s">
        <v>120</v>
      </c>
      <c r="AG100" s="20">
        <v>3</v>
      </c>
      <c r="AH100" s="20">
        <v>2.5</v>
      </c>
      <c r="AI100" s="20">
        <v>2</v>
      </c>
      <c r="AJ100" s="22">
        <v>50</v>
      </c>
      <c r="AK100" s="22">
        <v>0</v>
      </c>
      <c r="AL100" s="22">
        <v>0</v>
      </c>
      <c r="AM100" s="77">
        <f t="shared" si="7"/>
        <v>1</v>
      </c>
      <c r="AN100" s="22" t="s">
        <v>247</v>
      </c>
      <c r="AO100" s="58">
        <v>1</v>
      </c>
      <c r="AP100" s="22" t="s">
        <v>234</v>
      </c>
      <c r="AQ100" s="22" t="s">
        <v>668</v>
      </c>
      <c r="AR100" s="22" t="s">
        <v>117</v>
      </c>
      <c r="AS100" t="s">
        <v>119</v>
      </c>
      <c r="AV100" s="28"/>
      <c r="AW100" s="28"/>
      <c r="AX100" s="28"/>
      <c r="AY100" s="28"/>
      <c r="AZ100" s="28"/>
      <c r="BA100" s="28"/>
      <c r="BB100" s="22" t="s">
        <v>265</v>
      </c>
      <c r="BD100" s="20"/>
    </row>
    <row r="101" spans="1:56" ht="17.05" customHeight="1" x14ac:dyDescent="0.6">
      <c r="A101" s="14" t="str">
        <f t="shared" si="8"/>
        <v>N</v>
      </c>
      <c r="B101" s="14" t="str">
        <f t="shared" si="9"/>
        <v>N</v>
      </c>
      <c r="C101" s="14" t="s">
        <v>141</v>
      </c>
      <c r="D101" s="14" t="s">
        <v>141</v>
      </c>
      <c r="E101" t="s">
        <v>63</v>
      </c>
      <c r="F101" t="str">
        <f t="shared" si="14"/>
        <v>Y_N</v>
      </c>
      <c r="G101" s="22">
        <v>55</v>
      </c>
      <c r="H101" t="s">
        <v>260</v>
      </c>
      <c r="I101" s="5">
        <v>44259</v>
      </c>
      <c r="J101" s="7">
        <v>0.44791666666666669</v>
      </c>
      <c r="K101" s="20">
        <v>13</v>
      </c>
      <c r="L101" s="20">
        <v>13</v>
      </c>
      <c r="M101" s="20">
        <v>21</v>
      </c>
      <c r="N101" t="s">
        <v>71</v>
      </c>
      <c r="O101" t="s">
        <v>261</v>
      </c>
      <c r="P101" s="22">
        <v>36</v>
      </c>
      <c r="Q101" t="s">
        <v>262</v>
      </c>
      <c r="R101" t="s">
        <v>207</v>
      </c>
      <c r="S101" s="56" t="s">
        <v>207</v>
      </c>
      <c r="T101">
        <f t="shared" si="11"/>
        <v>14</v>
      </c>
      <c r="U101" s="5">
        <v>44273</v>
      </c>
      <c r="V101" s="7">
        <v>0.67569444444444438</v>
      </c>
      <c r="W101" s="5">
        <v>44283</v>
      </c>
      <c r="X101" s="7">
        <v>0.53402777777777777</v>
      </c>
      <c r="Y101" s="22">
        <f t="shared" si="12"/>
        <v>10</v>
      </c>
      <c r="Z101" t="s">
        <v>253</v>
      </c>
      <c r="AA101" t="s">
        <v>253</v>
      </c>
      <c r="AB101">
        <v>2</v>
      </c>
      <c r="AC101" t="s">
        <v>117</v>
      </c>
      <c r="AD101" t="s">
        <v>117</v>
      </c>
      <c r="AE101" t="s">
        <v>244</v>
      </c>
      <c r="AF101" t="s">
        <v>120</v>
      </c>
      <c r="AG101" s="20">
        <v>7.5</v>
      </c>
      <c r="AH101" s="20">
        <v>4.5</v>
      </c>
      <c r="AI101" s="20">
        <v>4.5</v>
      </c>
      <c r="AJ101" s="22">
        <v>40</v>
      </c>
      <c r="AK101" s="22">
        <v>0</v>
      </c>
      <c r="AL101" s="22">
        <v>0</v>
      </c>
      <c r="AM101" s="77">
        <f t="shared" si="7"/>
        <v>1</v>
      </c>
      <c r="AN101" s="22" t="s">
        <v>246</v>
      </c>
      <c r="AO101" s="58">
        <v>2</v>
      </c>
      <c r="AP101" t="s">
        <v>234</v>
      </c>
      <c r="AQ101" s="22" t="s">
        <v>668</v>
      </c>
      <c r="AR101" s="22" t="s">
        <v>117</v>
      </c>
      <c r="AS101" s="22" t="s">
        <v>119</v>
      </c>
      <c r="AV101" s="28"/>
      <c r="AW101" s="28"/>
      <c r="AX101" s="28"/>
      <c r="AY101" s="28"/>
      <c r="AZ101" s="28"/>
      <c r="BA101" s="28"/>
      <c r="BB101" s="22" t="s">
        <v>265</v>
      </c>
      <c r="BD101" s="20"/>
    </row>
    <row r="102" spans="1:56" x14ac:dyDescent="0.6">
      <c r="A102" s="14" t="str">
        <f t="shared" si="8"/>
        <v>N</v>
      </c>
      <c r="B102" s="14" t="str">
        <f t="shared" si="9"/>
        <v>Y</v>
      </c>
      <c r="C102" t="s">
        <v>141</v>
      </c>
      <c r="D102" t="s">
        <v>63</v>
      </c>
      <c r="E102" t="s">
        <v>63</v>
      </c>
      <c r="F102" t="str">
        <f t="shared" si="14"/>
        <v>N_N</v>
      </c>
      <c r="G102" s="22">
        <v>56</v>
      </c>
      <c r="H102" t="s">
        <v>250</v>
      </c>
      <c r="I102" s="5">
        <v>44289</v>
      </c>
      <c r="J102" s="7">
        <v>0.45833333333333331</v>
      </c>
      <c r="K102" s="20">
        <v>10.5</v>
      </c>
      <c r="L102" s="20">
        <v>11</v>
      </c>
      <c r="M102" s="20">
        <v>16</v>
      </c>
      <c r="N102" t="s">
        <v>109</v>
      </c>
      <c r="O102" t="s">
        <v>266</v>
      </c>
      <c r="P102" s="22">
        <v>20</v>
      </c>
      <c r="Q102" t="s">
        <v>267</v>
      </c>
      <c r="R102" t="s">
        <v>270</v>
      </c>
      <c r="S102" t="s">
        <v>63</v>
      </c>
      <c r="T102">
        <f t="shared" si="11"/>
        <v>5</v>
      </c>
      <c r="U102" s="5">
        <v>44294</v>
      </c>
      <c r="V102" s="7">
        <v>0.4375</v>
      </c>
      <c r="W102" s="5">
        <v>44301</v>
      </c>
      <c r="X102" s="7">
        <v>0.49305555555555558</v>
      </c>
      <c r="Y102" s="22">
        <f t="shared" si="12"/>
        <v>7</v>
      </c>
      <c r="Z102" t="s">
        <v>220</v>
      </c>
      <c r="AA102" t="s">
        <v>220</v>
      </c>
      <c r="AB102">
        <v>1</v>
      </c>
      <c r="AC102" t="s">
        <v>118</v>
      </c>
      <c r="AD102" t="s">
        <v>118</v>
      </c>
      <c r="AE102" t="s">
        <v>244</v>
      </c>
      <c r="AF102" t="s">
        <v>121</v>
      </c>
      <c r="AG102" s="20">
        <v>9.5</v>
      </c>
      <c r="AH102" s="20">
        <v>6.5</v>
      </c>
      <c r="AI102" s="20">
        <v>2.5</v>
      </c>
      <c r="AJ102" s="22">
        <v>65</v>
      </c>
      <c r="AK102" s="22">
        <v>0</v>
      </c>
      <c r="AL102" s="22">
        <v>65</v>
      </c>
      <c r="AM102" s="77">
        <f t="shared" si="7"/>
        <v>0</v>
      </c>
      <c r="AN102" s="22" t="s">
        <v>245</v>
      </c>
      <c r="AO102" s="58">
        <v>0</v>
      </c>
      <c r="AP102" s="22" t="s">
        <v>233</v>
      </c>
      <c r="AQ102" s="22" t="s">
        <v>667</v>
      </c>
      <c r="AR102" s="22" t="s">
        <v>119</v>
      </c>
      <c r="AT102" s="22" t="s">
        <v>118</v>
      </c>
      <c r="AU102" s="22"/>
      <c r="AV102" t="s">
        <v>335</v>
      </c>
      <c r="AW102" t="s">
        <v>182</v>
      </c>
      <c r="AX102" t="s">
        <v>182</v>
      </c>
      <c r="AY102" t="s">
        <v>182</v>
      </c>
      <c r="AZ102" s="28"/>
      <c r="BA102" s="28"/>
    </row>
    <row r="103" spans="1:56" x14ac:dyDescent="0.6">
      <c r="A103" s="14" t="str">
        <f t="shared" si="8"/>
        <v>N</v>
      </c>
      <c r="B103" s="14" t="str">
        <f t="shared" si="9"/>
        <v>Y</v>
      </c>
      <c r="C103" t="s">
        <v>141</v>
      </c>
      <c r="D103" t="s">
        <v>63</v>
      </c>
      <c r="E103" t="s">
        <v>63</v>
      </c>
      <c r="F103" t="str">
        <f t="shared" si="14"/>
        <v>N_N</v>
      </c>
      <c r="G103" s="22">
        <v>56</v>
      </c>
      <c r="H103" t="s">
        <v>250</v>
      </c>
      <c r="I103" s="5">
        <v>44289</v>
      </c>
      <c r="J103" s="7">
        <v>0.45833333333333331</v>
      </c>
      <c r="K103" s="20">
        <v>10.5</v>
      </c>
      <c r="L103" s="20">
        <v>11</v>
      </c>
      <c r="M103" s="20">
        <v>16</v>
      </c>
      <c r="N103" t="s">
        <v>109</v>
      </c>
      <c r="O103" t="s">
        <v>266</v>
      </c>
      <c r="P103" s="22">
        <v>20</v>
      </c>
      <c r="Q103" t="s">
        <v>267</v>
      </c>
      <c r="R103" t="s">
        <v>270</v>
      </c>
      <c r="S103" t="s">
        <v>63</v>
      </c>
      <c r="T103">
        <f t="shared" si="11"/>
        <v>5</v>
      </c>
      <c r="U103" s="5">
        <v>44294</v>
      </c>
      <c r="V103" s="7">
        <v>0.4375</v>
      </c>
      <c r="W103" s="5">
        <v>44301</v>
      </c>
      <c r="X103" s="7">
        <v>0.49305555555555558</v>
      </c>
      <c r="Y103" s="22">
        <f t="shared" si="12"/>
        <v>7</v>
      </c>
      <c r="Z103" t="s">
        <v>220</v>
      </c>
      <c r="AA103" t="s">
        <v>220</v>
      </c>
      <c r="AB103">
        <v>2</v>
      </c>
      <c r="AC103" t="s">
        <v>119</v>
      </c>
      <c r="AD103" t="s">
        <v>119</v>
      </c>
      <c r="AE103" t="s">
        <v>242</v>
      </c>
      <c r="AF103" t="s">
        <v>120</v>
      </c>
      <c r="AG103" s="20">
        <v>9</v>
      </c>
      <c r="AH103" s="20">
        <v>6.5</v>
      </c>
      <c r="AI103" s="20">
        <v>3</v>
      </c>
      <c r="AJ103" s="22">
        <v>55</v>
      </c>
      <c r="AK103" s="22">
        <v>0</v>
      </c>
      <c r="AL103" s="22">
        <v>0</v>
      </c>
      <c r="AM103" s="77">
        <f t="shared" si="7"/>
        <v>1</v>
      </c>
      <c r="AN103" s="22" t="s">
        <v>246</v>
      </c>
      <c r="AO103" s="58">
        <v>2</v>
      </c>
      <c r="AP103" t="s">
        <v>234</v>
      </c>
      <c r="AQ103" s="22" t="s">
        <v>667</v>
      </c>
      <c r="AR103" s="22" t="s">
        <v>119</v>
      </c>
      <c r="AT103" s="22" t="s">
        <v>118</v>
      </c>
      <c r="AU103" s="22"/>
      <c r="AV103" t="s">
        <v>335</v>
      </c>
      <c r="AW103" t="s">
        <v>182</v>
      </c>
      <c r="AX103" t="s">
        <v>182</v>
      </c>
      <c r="AY103" t="s">
        <v>182</v>
      </c>
      <c r="AZ103" s="28"/>
      <c r="BA103" s="28"/>
    </row>
    <row r="104" spans="1:56" x14ac:dyDescent="0.6">
      <c r="A104" s="14" t="str">
        <f t="shared" si="8"/>
        <v>N</v>
      </c>
      <c r="B104" s="14" t="str">
        <f t="shared" si="9"/>
        <v>Y</v>
      </c>
      <c r="C104" t="s">
        <v>141</v>
      </c>
      <c r="D104" t="s">
        <v>63</v>
      </c>
      <c r="E104" t="s">
        <v>63</v>
      </c>
      <c r="F104" t="str">
        <f t="shared" si="14"/>
        <v>N_N</v>
      </c>
      <c r="G104" s="22">
        <v>57</v>
      </c>
      <c r="H104" t="s">
        <v>51</v>
      </c>
      <c r="I104" s="5">
        <v>44289</v>
      </c>
      <c r="J104" s="7">
        <v>0.45833333333333331</v>
      </c>
      <c r="K104" s="20">
        <v>11.5</v>
      </c>
      <c r="L104" s="20">
        <v>11.5</v>
      </c>
      <c r="M104" s="20">
        <v>20</v>
      </c>
      <c r="N104" t="s">
        <v>109</v>
      </c>
      <c r="O104" t="s">
        <v>143</v>
      </c>
      <c r="P104" s="22">
        <v>20</v>
      </c>
      <c r="Q104" t="s">
        <v>163</v>
      </c>
      <c r="R104" t="s">
        <v>271</v>
      </c>
      <c r="S104" s="56" t="s">
        <v>271</v>
      </c>
      <c r="T104">
        <f t="shared" si="11"/>
        <v>5</v>
      </c>
      <c r="U104" s="5">
        <v>44294</v>
      </c>
      <c r="V104" s="7">
        <v>0.44097222222222227</v>
      </c>
      <c r="W104" s="5">
        <v>44301</v>
      </c>
      <c r="X104" s="7">
        <v>0.49444444444444446</v>
      </c>
      <c r="Y104" s="22">
        <f t="shared" si="12"/>
        <v>7</v>
      </c>
      <c r="Z104" t="s">
        <v>220</v>
      </c>
      <c r="AA104" t="s">
        <v>220</v>
      </c>
      <c r="AB104">
        <v>1</v>
      </c>
      <c r="AC104" t="s">
        <v>118</v>
      </c>
      <c r="AD104" t="s">
        <v>118</v>
      </c>
      <c r="AE104" t="s">
        <v>244</v>
      </c>
      <c r="AF104" t="s">
        <v>121</v>
      </c>
      <c r="AG104" s="20">
        <v>3.5</v>
      </c>
      <c r="AH104" s="20">
        <v>2</v>
      </c>
      <c r="AI104" s="20">
        <v>3</v>
      </c>
      <c r="AJ104" s="22">
        <v>60</v>
      </c>
      <c r="AK104" s="22">
        <v>0</v>
      </c>
      <c r="AL104" s="22">
        <v>60</v>
      </c>
      <c r="AM104" s="77">
        <f t="shared" si="7"/>
        <v>0</v>
      </c>
      <c r="AN104" s="22" t="s">
        <v>245</v>
      </c>
      <c r="AO104" s="58">
        <v>0</v>
      </c>
      <c r="AP104" s="22" t="s">
        <v>233</v>
      </c>
      <c r="AQ104" s="22" t="s">
        <v>669</v>
      </c>
      <c r="AT104" s="22" t="s">
        <v>118</v>
      </c>
      <c r="AU104" s="22" t="s">
        <v>119</v>
      </c>
      <c r="AV104" s="22" t="s">
        <v>334</v>
      </c>
      <c r="AW104" t="s">
        <v>182</v>
      </c>
      <c r="AX104" t="s">
        <v>182</v>
      </c>
      <c r="AY104" t="s">
        <v>182</v>
      </c>
      <c r="AZ104" s="28"/>
      <c r="BA104" s="28"/>
    </row>
    <row r="105" spans="1:56" x14ac:dyDescent="0.6">
      <c r="A105" s="14" t="str">
        <f t="shared" si="8"/>
        <v>N</v>
      </c>
      <c r="B105" s="14" t="str">
        <f t="shared" si="9"/>
        <v>Y</v>
      </c>
      <c r="C105" t="s">
        <v>141</v>
      </c>
      <c r="D105" t="s">
        <v>63</v>
      </c>
      <c r="E105" t="s">
        <v>63</v>
      </c>
      <c r="F105" t="str">
        <f t="shared" si="14"/>
        <v>N_N</v>
      </c>
      <c r="G105" s="22">
        <v>57</v>
      </c>
      <c r="H105" t="s">
        <v>51</v>
      </c>
      <c r="I105" s="5">
        <v>44289</v>
      </c>
      <c r="J105" s="7">
        <v>0.45833333333333331</v>
      </c>
      <c r="K105" s="20">
        <v>11.5</v>
      </c>
      <c r="L105" s="20">
        <v>11.5</v>
      </c>
      <c r="M105" s="20">
        <v>20</v>
      </c>
      <c r="N105" t="s">
        <v>109</v>
      </c>
      <c r="O105" t="s">
        <v>143</v>
      </c>
      <c r="P105" s="22">
        <v>20</v>
      </c>
      <c r="Q105" t="s">
        <v>163</v>
      </c>
      <c r="R105" t="s">
        <v>271</v>
      </c>
      <c r="S105" s="56" t="s">
        <v>271</v>
      </c>
      <c r="T105">
        <f t="shared" si="11"/>
        <v>5</v>
      </c>
      <c r="U105" s="5">
        <v>44294</v>
      </c>
      <c r="V105" s="7">
        <v>0.44097222222222227</v>
      </c>
      <c r="W105" s="5">
        <v>44301</v>
      </c>
      <c r="X105" s="7">
        <v>0.49444444444444446</v>
      </c>
      <c r="Y105" s="22">
        <f t="shared" si="12"/>
        <v>7</v>
      </c>
      <c r="Z105" t="s">
        <v>220</v>
      </c>
      <c r="AA105" t="s">
        <v>220</v>
      </c>
      <c r="AB105">
        <v>2</v>
      </c>
      <c r="AC105" t="s">
        <v>119</v>
      </c>
      <c r="AD105" t="s">
        <v>119</v>
      </c>
      <c r="AE105" t="s">
        <v>242</v>
      </c>
      <c r="AF105" t="s">
        <v>120</v>
      </c>
      <c r="AG105" s="20">
        <v>5</v>
      </c>
      <c r="AH105" s="20">
        <v>3</v>
      </c>
      <c r="AI105" s="20">
        <v>1</v>
      </c>
      <c r="AJ105" s="22">
        <v>40</v>
      </c>
      <c r="AK105" s="22">
        <v>0</v>
      </c>
      <c r="AL105" s="22">
        <v>40</v>
      </c>
      <c r="AM105" s="77">
        <f t="shared" si="7"/>
        <v>0</v>
      </c>
      <c r="AN105" s="22" t="s">
        <v>245</v>
      </c>
      <c r="AO105" s="58">
        <v>0</v>
      </c>
      <c r="AP105" t="s">
        <v>233</v>
      </c>
      <c r="AQ105" s="22" t="s">
        <v>669</v>
      </c>
      <c r="AT105" s="22" t="s">
        <v>118</v>
      </c>
      <c r="AU105" s="22" t="s">
        <v>119</v>
      </c>
      <c r="AV105" s="22" t="s">
        <v>334</v>
      </c>
      <c r="AW105" t="s">
        <v>182</v>
      </c>
      <c r="AX105" t="s">
        <v>182</v>
      </c>
      <c r="AY105" t="s">
        <v>182</v>
      </c>
      <c r="AZ105" s="28"/>
      <c r="BA105" s="28"/>
    </row>
    <row r="106" spans="1:56" x14ac:dyDescent="0.6">
      <c r="A106" s="14" t="str">
        <f t="shared" si="8"/>
        <v>N</v>
      </c>
      <c r="B106" s="14" t="str">
        <f t="shared" si="9"/>
        <v>Y</v>
      </c>
      <c r="C106" t="s">
        <v>141</v>
      </c>
      <c r="D106" t="s">
        <v>63</v>
      </c>
      <c r="E106" t="s">
        <v>63</v>
      </c>
      <c r="F106" t="str">
        <f t="shared" si="14"/>
        <v>N_N</v>
      </c>
      <c r="G106" s="22">
        <v>58</v>
      </c>
      <c r="H106" t="s">
        <v>50</v>
      </c>
      <c r="I106" s="5">
        <v>44289</v>
      </c>
      <c r="J106" s="7">
        <v>0.45833333333333331</v>
      </c>
      <c r="K106" s="20">
        <v>13</v>
      </c>
      <c r="L106" s="20">
        <v>13</v>
      </c>
      <c r="M106" s="20">
        <v>20</v>
      </c>
      <c r="N106" t="s">
        <v>108</v>
      </c>
      <c r="O106" t="s">
        <v>188</v>
      </c>
      <c r="P106" s="22">
        <v>29</v>
      </c>
      <c r="Q106" t="s">
        <v>267</v>
      </c>
      <c r="R106" t="s">
        <v>272</v>
      </c>
      <c r="S106" s="56" t="s">
        <v>272</v>
      </c>
      <c r="T106">
        <f t="shared" si="11"/>
        <v>5</v>
      </c>
      <c r="U106" s="5">
        <v>44294</v>
      </c>
      <c r="V106" s="7">
        <v>0.45833333333333331</v>
      </c>
      <c r="W106" s="5">
        <v>44301</v>
      </c>
      <c r="X106" s="7">
        <v>0.49652777777777773</v>
      </c>
      <c r="Y106" s="22">
        <f t="shared" si="12"/>
        <v>7</v>
      </c>
      <c r="Z106" t="s">
        <v>221</v>
      </c>
      <c r="AA106" t="s">
        <v>221</v>
      </c>
      <c r="AB106">
        <v>1</v>
      </c>
      <c r="AC106" t="s">
        <v>46</v>
      </c>
      <c r="AD106" t="s">
        <v>352</v>
      </c>
      <c r="AE106" t="s">
        <v>242</v>
      </c>
      <c r="AF106" t="s">
        <v>47</v>
      </c>
      <c r="AG106" s="20">
        <v>7</v>
      </c>
      <c r="AH106" s="20">
        <v>6</v>
      </c>
      <c r="AI106" s="20">
        <v>2</v>
      </c>
      <c r="AJ106" s="22">
        <v>50</v>
      </c>
      <c r="AK106" s="22">
        <v>0</v>
      </c>
      <c r="AL106" s="22">
        <v>50</v>
      </c>
      <c r="AM106" s="77">
        <f t="shared" si="7"/>
        <v>0</v>
      </c>
      <c r="AN106" s="22" t="s">
        <v>245</v>
      </c>
      <c r="AO106" s="58">
        <v>0</v>
      </c>
      <c r="AP106" s="22" t="s">
        <v>233</v>
      </c>
      <c r="AQ106" s="22" t="s">
        <v>669</v>
      </c>
      <c r="AT106" s="22" t="s">
        <v>46</v>
      </c>
      <c r="AU106" s="22" t="s">
        <v>119</v>
      </c>
      <c r="AV106" s="22" t="s">
        <v>334</v>
      </c>
      <c r="AW106" t="s">
        <v>182</v>
      </c>
      <c r="AX106" t="s">
        <v>182</v>
      </c>
      <c r="AY106" t="s">
        <v>182</v>
      </c>
      <c r="AZ106" s="28"/>
      <c r="BA106" s="28"/>
    </row>
    <row r="107" spans="1:56" x14ac:dyDescent="0.6">
      <c r="A107" s="14" t="str">
        <f t="shared" si="8"/>
        <v>N</v>
      </c>
      <c r="B107" s="14" t="str">
        <f t="shared" si="9"/>
        <v>Y</v>
      </c>
      <c r="C107" t="s">
        <v>141</v>
      </c>
      <c r="D107" t="s">
        <v>63</v>
      </c>
      <c r="E107" t="s">
        <v>63</v>
      </c>
      <c r="F107" t="str">
        <f t="shared" si="14"/>
        <v>N_N</v>
      </c>
      <c r="G107" s="22">
        <v>58</v>
      </c>
      <c r="H107" t="s">
        <v>50</v>
      </c>
      <c r="I107" s="5">
        <v>44289</v>
      </c>
      <c r="J107" s="7">
        <v>0.45833333333333331</v>
      </c>
      <c r="K107" s="20">
        <v>13</v>
      </c>
      <c r="L107" s="20">
        <v>13</v>
      </c>
      <c r="M107" s="20">
        <v>20</v>
      </c>
      <c r="N107" t="s">
        <v>108</v>
      </c>
      <c r="O107" t="s">
        <v>188</v>
      </c>
      <c r="P107" s="22">
        <v>29</v>
      </c>
      <c r="Q107" t="s">
        <v>267</v>
      </c>
      <c r="R107" t="s">
        <v>272</v>
      </c>
      <c r="S107" s="56" t="s">
        <v>272</v>
      </c>
      <c r="T107">
        <f t="shared" si="11"/>
        <v>5</v>
      </c>
      <c r="U107" s="5">
        <v>44294</v>
      </c>
      <c r="V107" s="7">
        <v>0.45833333333333331</v>
      </c>
      <c r="W107" s="5">
        <v>44301</v>
      </c>
      <c r="X107" s="7">
        <v>0.49652777777777773</v>
      </c>
      <c r="Y107" s="22">
        <f t="shared" si="12"/>
        <v>7</v>
      </c>
      <c r="Z107" t="s">
        <v>221</v>
      </c>
      <c r="AA107" t="s">
        <v>221</v>
      </c>
      <c r="AB107">
        <v>2</v>
      </c>
      <c r="AC107" t="s">
        <v>119</v>
      </c>
      <c r="AD107" t="s">
        <v>119</v>
      </c>
      <c r="AE107" t="s">
        <v>244</v>
      </c>
      <c r="AF107" t="s">
        <v>120</v>
      </c>
      <c r="AG107" s="20">
        <v>9</v>
      </c>
      <c r="AH107" s="20">
        <v>3</v>
      </c>
      <c r="AI107" s="20">
        <v>4</v>
      </c>
      <c r="AJ107" s="22">
        <v>40</v>
      </c>
      <c r="AK107" s="22">
        <v>0</v>
      </c>
      <c r="AL107" s="22">
        <v>40</v>
      </c>
      <c r="AM107" s="77">
        <f t="shared" si="7"/>
        <v>0</v>
      </c>
      <c r="AN107" s="22" t="s">
        <v>245</v>
      </c>
      <c r="AO107" s="58">
        <v>0</v>
      </c>
      <c r="AP107" t="s">
        <v>233</v>
      </c>
      <c r="AQ107" s="22" t="s">
        <v>669</v>
      </c>
      <c r="AT107" s="22" t="s">
        <v>46</v>
      </c>
      <c r="AU107" s="22" t="s">
        <v>119</v>
      </c>
      <c r="AV107" s="22" t="s">
        <v>334</v>
      </c>
      <c r="AW107" t="s">
        <v>182</v>
      </c>
      <c r="AX107" t="s">
        <v>182</v>
      </c>
      <c r="AY107" t="s">
        <v>182</v>
      </c>
      <c r="AZ107" s="28"/>
      <c r="BA107" s="28"/>
    </row>
    <row r="108" spans="1:56" x14ac:dyDescent="0.6">
      <c r="A108" s="14" t="str">
        <f t="shared" si="8"/>
        <v>N</v>
      </c>
      <c r="B108" s="14" t="str">
        <f t="shared" si="9"/>
        <v>Y</v>
      </c>
      <c r="C108" t="s">
        <v>141</v>
      </c>
      <c r="D108" t="s">
        <v>63</v>
      </c>
      <c r="E108" t="s">
        <v>63</v>
      </c>
      <c r="F108" t="str">
        <f t="shared" si="14"/>
        <v>N_N</v>
      </c>
      <c r="G108" s="22">
        <v>59</v>
      </c>
      <c r="H108" t="s">
        <v>49</v>
      </c>
      <c r="I108" s="5">
        <v>44289</v>
      </c>
      <c r="J108" s="7">
        <v>0.45833333333333331</v>
      </c>
      <c r="K108" s="20">
        <v>10</v>
      </c>
      <c r="L108" s="20">
        <v>10</v>
      </c>
      <c r="M108" s="20">
        <v>19</v>
      </c>
      <c r="N108" t="s">
        <v>109</v>
      </c>
      <c r="O108" t="s">
        <v>143</v>
      </c>
      <c r="P108" s="22">
        <v>20</v>
      </c>
      <c r="Q108" t="s">
        <v>111</v>
      </c>
      <c r="R108" t="s">
        <v>201</v>
      </c>
      <c r="S108" s="56" t="s">
        <v>201</v>
      </c>
      <c r="T108">
        <f t="shared" si="11"/>
        <v>5</v>
      </c>
      <c r="U108" s="5">
        <v>44294</v>
      </c>
      <c r="V108" s="7">
        <v>0.46875</v>
      </c>
      <c r="W108" s="5">
        <v>44301</v>
      </c>
      <c r="X108" s="7">
        <v>0.5</v>
      </c>
      <c r="Y108" s="22">
        <f t="shared" si="12"/>
        <v>7</v>
      </c>
      <c r="Z108" t="s">
        <v>222</v>
      </c>
      <c r="AA108" t="s">
        <v>222</v>
      </c>
      <c r="AB108">
        <v>1</v>
      </c>
      <c r="AC108" t="s">
        <v>118</v>
      </c>
      <c r="AD108" t="s">
        <v>118</v>
      </c>
      <c r="AE108" t="s">
        <v>242</v>
      </c>
      <c r="AF108" t="s">
        <v>121</v>
      </c>
      <c r="AG108" s="20">
        <v>7.5</v>
      </c>
      <c r="AH108" s="20">
        <v>3</v>
      </c>
      <c r="AI108" s="20">
        <v>4</v>
      </c>
      <c r="AJ108" s="22">
        <v>25</v>
      </c>
      <c r="AK108" s="22">
        <v>0</v>
      </c>
      <c r="AL108" s="22">
        <v>5</v>
      </c>
      <c r="AM108" s="77">
        <f t="shared" si="7"/>
        <v>0.8</v>
      </c>
      <c r="AN108" s="22" t="s">
        <v>246</v>
      </c>
      <c r="AO108" s="58">
        <v>2</v>
      </c>
      <c r="AP108" s="22" t="s">
        <v>234</v>
      </c>
      <c r="AQ108" s="22" t="s">
        <v>667</v>
      </c>
      <c r="AR108" t="s">
        <v>117</v>
      </c>
      <c r="AT108" s="22" t="s">
        <v>118</v>
      </c>
      <c r="AV108" t="s">
        <v>335</v>
      </c>
      <c r="AW108" t="s">
        <v>182</v>
      </c>
      <c r="AX108" t="s">
        <v>182</v>
      </c>
      <c r="AY108" t="s">
        <v>182</v>
      </c>
      <c r="AZ108" s="28"/>
      <c r="BA108" s="28"/>
    </row>
    <row r="109" spans="1:56" x14ac:dyDescent="0.6">
      <c r="A109" s="14" t="str">
        <f t="shared" si="8"/>
        <v>N</v>
      </c>
      <c r="B109" s="14" t="str">
        <f t="shared" si="9"/>
        <v>Y</v>
      </c>
      <c r="C109" t="s">
        <v>141</v>
      </c>
      <c r="D109" t="s">
        <v>63</v>
      </c>
      <c r="E109" t="s">
        <v>63</v>
      </c>
      <c r="F109" t="str">
        <f t="shared" si="14"/>
        <v>N_N</v>
      </c>
      <c r="G109" s="22">
        <v>59</v>
      </c>
      <c r="H109" t="s">
        <v>49</v>
      </c>
      <c r="I109" s="5">
        <v>44289</v>
      </c>
      <c r="J109" s="7">
        <v>0.45833333333333331</v>
      </c>
      <c r="K109" s="20">
        <v>10</v>
      </c>
      <c r="L109" s="20">
        <v>10</v>
      </c>
      <c r="M109" s="20">
        <v>19</v>
      </c>
      <c r="N109" t="s">
        <v>109</v>
      </c>
      <c r="O109" t="s">
        <v>143</v>
      </c>
      <c r="P109" s="22">
        <v>20</v>
      </c>
      <c r="Q109" t="s">
        <v>111</v>
      </c>
      <c r="R109" t="s">
        <v>201</v>
      </c>
      <c r="S109" s="56" t="s">
        <v>201</v>
      </c>
      <c r="T109">
        <f t="shared" si="11"/>
        <v>5</v>
      </c>
      <c r="U109" s="5">
        <v>44294</v>
      </c>
      <c r="V109" s="7">
        <v>0.46875</v>
      </c>
      <c r="W109" s="5">
        <v>44301</v>
      </c>
      <c r="X109" s="7">
        <v>0.5</v>
      </c>
      <c r="Y109" s="22">
        <f t="shared" si="12"/>
        <v>7</v>
      </c>
      <c r="Z109" t="s">
        <v>222</v>
      </c>
      <c r="AA109" t="s">
        <v>222</v>
      </c>
      <c r="AB109">
        <v>2</v>
      </c>
      <c r="AC109" t="s">
        <v>117</v>
      </c>
      <c r="AD109" t="s">
        <v>117</v>
      </c>
      <c r="AE109" t="s">
        <v>244</v>
      </c>
      <c r="AF109" t="s">
        <v>120</v>
      </c>
      <c r="AG109" s="20">
        <v>7.5</v>
      </c>
      <c r="AH109" s="20">
        <v>5</v>
      </c>
      <c r="AI109" s="20">
        <v>4.5</v>
      </c>
      <c r="AJ109" s="22">
        <v>15</v>
      </c>
      <c r="AK109" s="22">
        <v>0</v>
      </c>
      <c r="AL109" s="22">
        <v>15</v>
      </c>
      <c r="AM109" s="77">
        <f t="shared" si="7"/>
        <v>0</v>
      </c>
      <c r="AN109" s="22" t="s">
        <v>245</v>
      </c>
      <c r="AO109" s="58">
        <v>0</v>
      </c>
      <c r="AP109" t="s">
        <v>233</v>
      </c>
      <c r="AQ109" s="22" t="s">
        <v>667</v>
      </c>
      <c r="AR109" t="s">
        <v>117</v>
      </c>
      <c r="AT109" s="22" t="s">
        <v>118</v>
      </c>
      <c r="AV109" t="s">
        <v>335</v>
      </c>
      <c r="AW109" t="s">
        <v>182</v>
      </c>
      <c r="AX109" t="s">
        <v>182</v>
      </c>
      <c r="AY109" t="s">
        <v>182</v>
      </c>
      <c r="AZ109" s="28"/>
      <c r="BA109" s="28"/>
    </row>
    <row r="110" spans="1:56" x14ac:dyDescent="0.6">
      <c r="A110" s="14" t="str">
        <f t="shared" si="8"/>
        <v>N</v>
      </c>
      <c r="B110" s="14" t="str">
        <f t="shared" si="9"/>
        <v>Y</v>
      </c>
      <c r="C110" t="s">
        <v>141</v>
      </c>
      <c r="D110" t="s">
        <v>141</v>
      </c>
      <c r="E110" t="s">
        <v>63</v>
      </c>
      <c r="F110" t="str">
        <f t="shared" si="14"/>
        <v>Y_N</v>
      </c>
      <c r="G110" s="22">
        <v>60</v>
      </c>
      <c r="H110" t="s">
        <v>260</v>
      </c>
      <c r="I110" s="5">
        <v>44289</v>
      </c>
      <c r="J110" s="7">
        <v>0.45833333333333331</v>
      </c>
      <c r="K110" s="20">
        <v>11.5</v>
      </c>
      <c r="L110" s="20">
        <v>11</v>
      </c>
      <c r="M110" s="20">
        <v>20</v>
      </c>
      <c r="N110" t="s">
        <v>268</v>
      </c>
      <c r="O110" t="s">
        <v>269</v>
      </c>
      <c r="P110" s="22">
        <v>29</v>
      </c>
      <c r="Q110" t="s">
        <v>162</v>
      </c>
      <c r="R110" t="s">
        <v>202</v>
      </c>
      <c r="S110" s="56" t="s">
        <v>202</v>
      </c>
      <c r="T110">
        <f t="shared" si="11"/>
        <v>5</v>
      </c>
      <c r="U110" s="5">
        <v>44294</v>
      </c>
      <c r="V110" s="7">
        <v>0.46180555555555558</v>
      </c>
      <c r="W110" s="5">
        <v>44301</v>
      </c>
      <c r="X110" s="7">
        <v>0.50208333333333333</v>
      </c>
      <c r="Y110" s="22">
        <f t="shared" si="12"/>
        <v>7</v>
      </c>
      <c r="Z110" t="s">
        <v>223</v>
      </c>
      <c r="AA110" t="s">
        <v>223</v>
      </c>
      <c r="AB110">
        <v>1</v>
      </c>
      <c r="AC110" t="s">
        <v>46</v>
      </c>
      <c r="AD110" t="s">
        <v>352</v>
      </c>
      <c r="AE110" t="s">
        <v>244</v>
      </c>
      <c r="AF110" t="s">
        <v>47</v>
      </c>
      <c r="AG110" s="20">
        <v>10</v>
      </c>
      <c r="AH110" s="20">
        <v>9</v>
      </c>
      <c r="AI110" s="20">
        <v>8</v>
      </c>
      <c r="AJ110" s="22">
        <v>70</v>
      </c>
      <c r="AK110" s="22">
        <v>0</v>
      </c>
      <c r="AL110" s="22">
        <v>70</v>
      </c>
      <c r="AM110" s="77">
        <f t="shared" si="7"/>
        <v>0</v>
      </c>
      <c r="AN110" s="22" t="s">
        <v>245</v>
      </c>
      <c r="AO110" s="58">
        <v>0</v>
      </c>
      <c r="AP110" s="22" t="s">
        <v>233</v>
      </c>
      <c r="AQ110" s="22" t="s">
        <v>667</v>
      </c>
      <c r="AR110" t="s">
        <v>117</v>
      </c>
      <c r="AT110" s="22" t="s">
        <v>46</v>
      </c>
      <c r="AV110" s="28"/>
      <c r="AW110" s="28"/>
      <c r="AX110" s="28"/>
      <c r="AY110" s="28"/>
      <c r="AZ110" s="28"/>
      <c r="BA110" s="28"/>
    </row>
    <row r="111" spans="1:56" x14ac:dyDescent="0.6">
      <c r="A111" s="14" t="str">
        <f t="shared" si="8"/>
        <v>N</v>
      </c>
      <c r="B111" s="14" t="str">
        <f t="shared" si="9"/>
        <v>Y</v>
      </c>
      <c r="C111" t="s">
        <v>141</v>
      </c>
      <c r="D111" t="s">
        <v>141</v>
      </c>
      <c r="E111" t="s">
        <v>63</v>
      </c>
      <c r="F111" t="str">
        <f t="shared" si="14"/>
        <v>Y_N</v>
      </c>
      <c r="G111" s="22">
        <v>60</v>
      </c>
      <c r="H111" t="s">
        <v>260</v>
      </c>
      <c r="I111" s="5">
        <v>44289</v>
      </c>
      <c r="J111" s="7">
        <v>0.45833333333333331</v>
      </c>
      <c r="K111" s="20">
        <v>11.5</v>
      </c>
      <c r="L111" s="20">
        <v>11</v>
      </c>
      <c r="M111" s="20">
        <v>20</v>
      </c>
      <c r="N111" t="s">
        <v>268</v>
      </c>
      <c r="O111" t="s">
        <v>269</v>
      </c>
      <c r="P111" s="22">
        <v>29</v>
      </c>
      <c r="Q111" t="s">
        <v>162</v>
      </c>
      <c r="R111" t="s">
        <v>202</v>
      </c>
      <c r="S111" s="56" t="s">
        <v>202</v>
      </c>
      <c r="T111">
        <f t="shared" si="11"/>
        <v>5</v>
      </c>
      <c r="U111" s="5">
        <v>44294</v>
      </c>
      <c r="V111" s="7">
        <v>0.46180555555555558</v>
      </c>
      <c r="W111" s="5">
        <v>44301</v>
      </c>
      <c r="X111" s="7">
        <v>0.50208333333333333</v>
      </c>
      <c r="Y111" s="22">
        <f t="shared" si="12"/>
        <v>7</v>
      </c>
      <c r="Z111" t="s">
        <v>223</v>
      </c>
      <c r="AA111" t="s">
        <v>223</v>
      </c>
      <c r="AB111">
        <v>2</v>
      </c>
      <c r="AC111" t="s">
        <v>117</v>
      </c>
      <c r="AD111" t="s">
        <v>117</v>
      </c>
      <c r="AE111" t="s">
        <v>242</v>
      </c>
      <c r="AF111" t="s">
        <v>120</v>
      </c>
      <c r="AG111" s="20">
        <v>14</v>
      </c>
      <c r="AH111" s="20">
        <v>8</v>
      </c>
      <c r="AI111" s="20">
        <v>7</v>
      </c>
      <c r="AJ111" s="22">
        <v>40</v>
      </c>
      <c r="AK111" s="22">
        <v>0</v>
      </c>
      <c r="AL111" s="22">
        <v>0</v>
      </c>
      <c r="AM111" s="77">
        <f t="shared" si="7"/>
        <v>1</v>
      </c>
      <c r="AN111" s="22" t="s">
        <v>246</v>
      </c>
      <c r="AO111" s="58">
        <v>2</v>
      </c>
      <c r="AP111" t="s">
        <v>234</v>
      </c>
      <c r="AQ111" s="22" t="s">
        <v>667</v>
      </c>
      <c r="AR111" t="s">
        <v>117</v>
      </c>
      <c r="AT111" s="22" t="s">
        <v>46</v>
      </c>
      <c r="AV111" s="28"/>
      <c r="AW111" s="28"/>
      <c r="AX111" s="28"/>
      <c r="AY111" s="28"/>
      <c r="AZ111" s="28"/>
      <c r="BA111" s="28"/>
    </row>
    <row r="112" spans="1:56" x14ac:dyDescent="0.6">
      <c r="A112" s="14" t="str">
        <f t="shared" si="8"/>
        <v>Y</v>
      </c>
      <c r="B112" s="14" t="str">
        <f t="shared" si="9"/>
        <v>Y</v>
      </c>
      <c r="C112" t="s">
        <v>141</v>
      </c>
      <c r="D112" t="s">
        <v>141</v>
      </c>
      <c r="E112" t="s">
        <v>63</v>
      </c>
      <c r="F112" t="str">
        <f t="shared" si="14"/>
        <v>Y_N</v>
      </c>
      <c r="G112" s="22">
        <v>61</v>
      </c>
      <c r="H112" t="s">
        <v>260</v>
      </c>
      <c r="I112" s="5">
        <v>44301</v>
      </c>
      <c r="J112" s="7">
        <v>0.5</v>
      </c>
      <c r="K112" s="20">
        <v>13</v>
      </c>
      <c r="L112" s="20">
        <v>12.5</v>
      </c>
      <c r="M112" s="20">
        <v>22</v>
      </c>
      <c r="N112" t="s">
        <v>54</v>
      </c>
      <c r="O112" t="s">
        <v>301</v>
      </c>
      <c r="P112" s="22">
        <v>30</v>
      </c>
      <c r="Q112" t="s">
        <v>79</v>
      </c>
      <c r="R112" t="s">
        <v>302</v>
      </c>
      <c r="S112" t="s">
        <v>63</v>
      </c>
      <c r="T112">
        <f t="shared" si="11"/>
        <v>7</v>
      </c>
      <c r="U112" s="5">
        <v>44308</v>
      </c>
      <c r="V112" s="7">
        <v>0.49652777777777773</v>
      </c>
      <c r="W112" s="5">
        <v>44315</v>
      </c>
      <c r="X112" s="7">
        <v>0.4201388888888889</v>
      </c>
      <c r="Y112" s="22">
        <f t="shared" si="12"/>
        <v>7</v>
      </c>
      <c r="Z112" t="s">
        <v>216</v>
      </c>
      <c r="AA112" t="s">
        <v>216</v>
      </c>
      <c r="AB112">
        <v>1</v>
      </c>
      <c r="AC112" t="s">
        <v>66</v>
      </c>
      <c r="AD112" t="s">
        <v>351</v>
      </c>
      <c r="AE112" t="s">
        <v>242</v>
      </c>
      <c r="AF112" t="s">
        <v>67</v>
      </c>
      <c r="AG112" s="20">
        <v>14</v>
      </c>
      <c r="AH112" s="20">
        <v>11</v>
      </c>
      <c r="AI112" s="20">
        <v>12</v>
      </c>
      <c r="AJ112" s="22">
        <v>80</v>
      </c>
      <c r="AK112" s="22">
        <v>1</v>
      </c>
      <c r="AL112" s="22">
        <v>0</v>
      </c>
      <c r="AM112" s="77">
        <f t="shared" si="7"/>
        <v>1</v>
      </c>
      <c r="AN112" s="22" t="s">
        <v>246</v>
      </c>
      <c r="AO112" s="58">
        <v>2</v>
      </c>
      <c r="AP112" s="22" t="s">
        <v>234</v>
      </c>
      <c r="AQ112" s="22" t="s">
        <v>668</v>
      </c>
      <c r="AR112" t="s">
        <v>66</v>
      </c>
      <c r="AS112" s="22" t="s">
        <v>117</v>
      </c>
      <c r="AV112" s="28"/>
      <c r="AW112" s="28"/>
      <c r="AX112" s="28"/>
      <c r="AY112" s="28"/>
      <c r="AZ112" s="28"/>
      <c r="BA112" s="28"/>
      <c r="BB112" s="20" t="s">
        <v>310</v>
      </c>
    </row>
    <row r="113" spans="1:54" x14ac:dyDescent="0.6">
      <c r="A113" s="14" t="str">
        <f t="shared" si="8"/>
        <v>Y</v>
      </c>
      <c r="B113" s="14" t="str">
        <f t="shared" si="9"/>
        <v>Y</v>
      </c>
      <c r="C113" t="s">
        <v>141</v>
      </c>
      <c r="D113" t="s">
        <v>141</v>
      </c>
      <c r="E113" t="s">
        <v>63</v>
      </c>
      <c r="F113" t="str">
        <f t="shared" si="14"/>
        <v>Y_N</v>
      </c>
      <c r="G113" s="22">
        <v>61</v>
      </c>
      <c r="H113" t="s">
        <v>260</v>
      </c>
      <c r="I113" s="5">
        <v>44301</v>
      </c>
      <c r="J113" s="7">
        <v>0.5</v>
      </c>
      <c r="K113" s="20">
        <v>13</v>
      </c>
      <c r="L113" s="20">
        <v>12.5</v>
      </c>
      <c r="M113" s="20">
        <v>22</v>
      </c>
      <c r="N113" t="s">
        <v>54</v>
      </c>
      <c r="O113" t="s">
        <v>301</v>
      </c>
      <c r="P113" s="22">
        <v>30</v>
      </c>
      <c r="Q113" t="s">
        <v>79</v>
      </c>
      <c r="R113" t="s">
        <v>302</v>
      </c>
      <c r="S113" t="s">
        <v>63</v>
      </c>
      <c r="T113">
        <f t="shared" si="11"/>
        <v>7</v>
      </c>
      <c r="U113" s="5">
        <v>44308</v>
      </c>
      <c r="V113" s="7">
        <v>0.49652777777777773</v>
      </c>
      <c r="W113" s="5">
        <v>44315</v>
      </c>
      <c r="X113" s="7">
        <v>0.4201388888888889</v>
      </c>
      <c r="Y113" s="22">
        <f t="shared" si="12"/>
        <v>7</v>
      </c>
      <c r="Z113" t="s">
        <v>216</v>
      </c>
      <c r="AA113" t="s">
        <v>216</v>
      </c>
      <c r="AB113">
        <v>2</v>
      </c>
      <c r="AC113" t="s">
        <v>117</v>
      </c>
      <c r="AD113" t="s">
        <v>117</v>
      </c>
      <c r="AE113" t="s">
        <v>244</v>
      </c>
      <c r="AF113" t="s">
        <v>120</v>
      </c>
      <c r="AG113" s="20">
        <v>20.5</v>
      </c>
      <c r="AH113" s="20">
        <v>16.5</v>
      </c>
      <c r="AI113" s="20">
        <v>10.5</v>
      </c>
      <c r="AJ113" s="22">
        <v>30</v>
      </c>
      <c r="AK113" s="22">
        <v>0</v>
      </c>
      <c r="AL113" s="22">
        <v>15</v>
      </c>
      <c r="AM113" s="77">
        <f>((AJ113-AL113)/AJ113)</f>
        <v>0.5</v>
      </c>
      <c r="AN113" s="22" t="s">
        <v>247</v>
      </c>
      <c r="AO113" s="58">
        <v>1</v>
      </c>
      <c r="AP113" t="s">
        <v>234</v>
      </c>
      <c r="AQ113" s="22" t="s">
        <v>668</v>
      </c>
      <c r="AR113" t="s">
        <v>66</v>
      </c>
      <c r="AS113" t="s">
        <v>117</v>
      </c>
      <c r="AV113" s="28"/>
      <c r="AW113" s="28"/>
      <c r="AX113" s="28"/>
      <c r="AY113" s="28"/>
      <c r="AZ113" s="28"/>
      <c r="BA113" s="28"/>
      <c r="BB113" s="20" t="s">
        <v>310</v>
      </c>
    </row>
    <row r="114" spans="1:54" x14ac:dyDescent="0.6">
      <c r="A114" s="14" t="str">
        <f t="shared" si="8"/>
        <v>Y</v>
      </c>
      <c r="B114" s="14" t="str">
        <f t="shared" si="9"/>
        <v>Y</v>
      </c>
      <c r="C114" t="s">
        <v>141</v>
      </c>
      <c r="D114" s="14" t="s">
        <v>141</v>
      </c>
      <c r="E114" t="s">
        <v>63</v>
      </c>
      <c r="F114" t="str">
        <f t="shared" si="14"/>
        <v>Y_N</v>
      </c>
      <c r="G114" s="22">
        <v>62</v>
      </c>
      <c r="H114" t="s">
        <v>49</v>
      </c>
      <c r="I114" s="5">
        <v>44301</v>
      </c>
      <c r="J114" s="7">
        <v>0.5</v>
      </c>
      <c r="K114" s="20">
        <v>13.5</v>
      </c>
      <c r="L114" s="20">
        <v>14</v>
      </c>
      <c r="M114" s="20">
        <v>21</v>
      </c>
      <c r="N114" t="s">
        <v>88</v>
      </c>
      <c r="O114" t="s">
        <v>154</v>
      </c>
      <c r="P114" s="22">
        <v>31</v>
      </c>
      <c r="Q114" t="s">
        <v>303</v>
      </c>
      <c r="R114" t="s">
        <v>207</v>
      </c>
      <c r="S114" s="56" t="s">
        <v>207</v>
      </c>
      <c r="T114">
        <f t="shared" si="11"/>
        <v>7</v>
      </c>
      <c r="U114" s="5">
        <v>44308</v>
      </c>
      <c r="V114" s="7">
        <v>0.49861111111111112</v>
      </c>
      <c r="W114" s="5">
        <v>44315</v>
      </c>
      <c r="X114" s="7">
        <v>0.42083333333333334</v>
      </c>
      <c r="Y114" s="22">
        <f t="shared" si="12"/>
        <v>7</v>
      </c>
      <c r="Z114" t="s">
        <v>253</v>
      </c>
      <c r="AA114" t="s">
        <v>253</v>
      </c>
      <c r="AB114">
        <v>1</v>
      </c>
      <c r="AC114" t="s">
        <v>119</v>
      </c>
      <c r="AD114" t="s">
        <v>119</v>
      </c>
      <c r="AE114" t="s">
        <v>242</v>
      </c>
      <c r="AF114" t="s">
        <v>120</v>
      </c>
      <c r="AG114" s="20">
        <v>6.5</v>
      </c>
      <c r="AH114" s="20">
        <v>6</v>
      </c>
      <c r="AI114" s="20">
        <v>2.5</v>
      </c>
      <c r="AJ114" s="22">
        <v>35</v>
      </c>
      <c r="AK114" s="22">
        <v>0</v>
      </c>
      <c r="AL114" s="22">
        <v>35</v>
      </c>
      <c r="AM114" s="77">
        <f t="shared" si="7"/>
        <v>0</v>
      </c>
      <c r="AN114" s="22" t="s">
        <v>245</v>
      </c>
      <c r="AO114" s="58">
        <v>0</v>
      </c>
      <c r="AP114" s="22" t="s">
        <v>233</v>
      </c>
      <c r="AQ114" s="22" t="s">
        <v>667</v>
      </c>
      <c r="AR114" t="s">
        <v>117</v>
      </c>
      <c r="AS114" s="22"/>
      <c r="AT114" s="22" t="s">
        <v>119</v>
      </c>
      <c r="AV114" s="28"/>
      <c r="AW114" s="28"/>
      <c r="AX114" s="28"/>
      <c r="AY114" s="28"/>
      <c r="AZ114" s="28"/>
      <c r="BA114" s="28"/>
    </row>
    <row r="115" spans="1:54" x14ac:dyDescent="0.6">
      <c r="A115" s="14" t="str">
        <f t="shared" si="8"/>
        <v>Y</v>
      </c>
      <c r="B115" s="14" t="str">
        <f t="shared" si="9"/>
        <v>Y</v>
      </c>
      <c r="C115" t="s">
        <v>141</v>
      </c>
      <c r="D115" s="14" t="s">
        <v>141</v>
      </c>
      <c r="E115" t="s">
        <v>63</v>
      </c>
      <c r="F115" t="str">
        <f t="shared" si="14"/>
        <v>Y_N</v>
      </c>
      <c r="G115" s="22">
        <v>62</v>
      </c>
      <c r="H115" t="s">
        <v>49</v>
      </c>
      <c r="I115" s="5">
        <v>44301</v>
      </c>
      <c r="J115" s="7">
        <v>0.5</v>
      </c>
      <c r="K115" s="20">
        <v>13.5</v>
      </c>
      <c r="L115" s="20">
        <v>14</v>
      </c>
      <c r="M115" s="20">
        <v>21</v>
      </c>
      <c r="N115" t="s">
        <v>88</v>
      </c>
      <c r="O115" t="s">
        <v>154</v>
      </c>
      <c r="P115" s="22">
        <v>31</v>
      </c>
      <c r="Q115" t="s">
        <v>303</v>
      </c>
      <c r="R115" t="s">
        <v>207</v>
      </c>
      <c r="S115" s="56" t="s">
        <v>207</v>
      </c>
      <c r="T115">
        <f t="shared" si="11"/>
        <v>7</v>
      </c>
      <c r="U115" s="5">
        <v>44308</v>
      </c>
      <c r="V115" s="7">
        <v>0.49861111111111112</v>
      </c>
      <c r="W115" s="5">
        <v>44315</v>
      </c>
      <c r="X115" s="7">
        <v>0.42083333333333334</v>
      </c>
      <c r="Y115" s="22">
        <f t="shared" si="12"/>
        <v>7</v>
      </c>
      <c r="Z115" t="s">
        <v>253</v>
      </c>
      <c r="AA115" t="s">
        <v>253</v>
      </c>
      <c r="AB115">
        <v>2</v>
      </c>
      <c r="AC115" t="s">
        <v>117</v>
      </c>
      <c r="AD115" t="s">
        <v>117</v>
      </c>
      <c r="AE115" t="s">
        <v>244</v>
      </c>
      <c r="AF115" t="s">
        <v>120</v>
      </c>
      <c r="AG115" s="20">
        <v>8.5</v>
      </c>
      <c r="AH115" s="20">
        <v>3</v>
      </c>
      <c r="AI115" s="20">
        <v>2</v>
      </c>
      <c r="AJ115" s="22">
        <v>40</v>
      </c>
      <c r="AK115" s="22">
        <v>0</v>
      </c>
      <c r="AL115" s="22">
        <v>0</v>
      </c>
      <c r="AM115" s="77">
        <f t="shared" si="7"/>
        <v>1</v>
      </c>
      <c r="AN115" s="22" t="s">
        <v>246</v>
      </c>
      <c r="AO115" s="58">
        <v>2</v>
      </c>
      <c r="AP115" t="s">
        <v>234</v>
      </c>
      <c r="AQ115" s="22" t="s">
        <v>667</v>
      </c>
      <c r="AR115" t="s">
        <v>117</v>
      </c>
      <c r="AT115" t="s">
        <v>119</v>
      </c>
      <c r="AV115" s="28"/>
      <c r="AW115" s="28"/>
      <c r="AX115" s="28"/>
      <c r="AY115" s="28"/>
      <c r="AZ115" s="28"/>
      <c r="BA115" s="28"/>
    </row>
    <row r="116" spans="1:54" x14ac:dyDescent="0.6">
      <c r="A116" s="14" t="str">
        <f t="shared" si="8"/>
        <v>N</v>
      </c>
      <c r="B116" s="14" t="str">
        <f t="shared" si="9"/>
        <v>Y</v>
      </c>
      <c r="C116" t="s">
        <v>141</v>
      </c>
      <c r="D116" t="s">
        <v>63</v>
      </c>
      <c r="E116" t="s">
        <v>63</v>
      </c>
      <c r="F116" t="str">
        <f t="shared" si="14"/>
        <v>N_N</v>
      </c>
      <c r="G116" s="22">
        <v>64</v>
      </c>
      <c r="H116" t="s">
        <v>51</v>
      </c>
      <c r="I116" s="5">
        <v>44289</v>
      </c>
      <c r="J116" s="7">
        <v>0.45833333333333331</v>
      </c>
      <c r="K116" s="20">
        <v>10.5</v>
      </c>
      <c r="L116" s="20">
        <v>10.5</v>
      </c>
      <c r="M116" s="20">
        <v>16</v>
      </c>
      <c r="N116" t="s">
        <v>109</v>
      </c>
      <c r="O116" t="s">
        <v>189</v>
      </c>
      <c r="P116" s="22">
        <v>28</v>
      </c>
      <c r="Q116" t="s">
        <v>42</v>
      </c>
      <c r="R116" t="s">
        <v>311</v>
      </c>
      <c r="S116" s="56" t="s">
        <v>311</v>
      </c>
      <c r="T116">
        <f t="shared" si="11"/>
        <v>19</v>
      </c>
      <c r="U116" s="5">
        <v>44308</v>
      </c>
      <c r="V116" s="7">
        <v>0.50277777777777777</v>
      </c>
      <c r="W116" s="5">
        <v>44315</v>
      </c>
      <c r="X116" s="7">
        <v>0.42222222222222222</v>
      </c>
      <c r="Y116" s="22">
        <f t="shared" si="12"/>
        <v>7</v>
      </c>
      <c r="Z116" t="s">
        <v>216</v>
      </c>
      <c r="AA116" t="s">
        <v>216</v>
      </c>
      <c r="AB116">
        <v>1</v>
      </c>
      <c r="AC116" t="s">
        <v>66</v>
      </c>
      <c r="AD116" t="s">
        <v>351</v>
      </c>
      <c r="AE116" t="s">
        <v>242</v>
      </c>
      <c r="AF116" t="s">
        <v>67</v>
      </c>
      <c r="AG116" s="20">
        <v>5.5</v>
      </c>
      <c r="AH116" s="20">
        <v>9.5</v>
      </c>
      <c r="AI116" s="20">
        <v>7.5</v>
      </c>
      <c r="AJ116" s="22">
        <v>85</v>
      </c>
      <c r="AK116" s="22">
        <v>0</v>
      </c>
      <c r="AL116" s="22">
        <v>0</v>
      </c>
      <c r="AM116" s="77">
        <f t="shared" si="7"/>
        <v>1</v>
      </c>
      <c r="AN116" s="22" t="s">
        <v>246</v>
      </c>
      <c r="AO116" s="58">
        <v>2</v>
      </c>
      <c r="AP116" s="22" t="s">
        <v>234</v>
      </c>
      <c r="AQ116" s="22" t="s">
        <v>667</v>
      </c>
      <c r="AR116" t="s">
        <v>66</v>
      </c>
      <c r="AT116" s="22" t="s">
        <v>117</v>
      </c>
      <c r="AV116" t="s">
        <v>335</v>
      </c>
      <c r="AW116" t="s">
        <v>182</v>
      </c>
      <c r="AX116" t="s">
        <v>182</v>
      </c>
      <c r="AY116" t="s">
        <v>182</v>
      </c>
      <c r="AZ116" s="28"/>
      <c r="BA116" s="28"/>
    </row>
    <row r="117" spans="1:54" x14ac:dyDescent="0.6">
      <c r="A117" s="14" t="str">
        <f t="shared" si="8"/>
        <v>N</v>
      </c>
      <c r="B117" s="14" t="str">
        <f t="shared" si="9"/>
        <v>Y</v>
      </c>
      <c r="C117" t="s">
        <v>141</v>
      </c>
      <c r="D117" t="s">
        <v>63</v>
      </c>
      <c r="E117" t="s">
        <v>63</v>
      </c>
      <c r="F117" t="str">
        <f t="shared" si="14"/>
        <v>N_N</v>
      </c>
      <c r="G117" s="22">
        <v>64</v>
      </c>
      <c r="H117" t="s">
        <v>51</v>
      </c>
      <c r="I117" s="5">
        <v>44289</v>
      </c>
      <c r="J117" s="7">
        <v>0.45833333333333331</v>
      </c>
      <c r="K117" s="20">
        <v>10.5</v>
      </c>
      <c r="L117" s="20">
        <v>10.5</v>
      </c>
      <c r="M117" s="20">
        <v>16</v>
      </c>
      <c r="N117" t="s">
        <v>109</v>
      </c>
      <c r="O117" t="s">
        <v>189</v>
      </c>
      <c r="P117" s="22">
        <v>28</v>
      </c>
      <c r="Q117" t="s">
        <v>42</v>
      </c>
      <c r="R117" t="s">
        <v>311</v>
      </c>
      <c r="S117" s="56" t="s">
        <v>311</v>
      </c>
      <c r="T117">
        <f t="shared" si="11"/>
        <v>19</v>
      </c>
      <c r="U117" s="5">
        <v>44308</v>
      </c>
      <c r="V117" s="7">
        <v>0.50277777777777777</v>
      </c>
      <c r="W117" s="5">
        <v>44315</v>
      </c>
      <c r="X117" s="7">
        <v>0.42222222222222222</v>
      </c>
      <c r="Y117" s="22">
        <f t="shared" si="12"/>
        <v>7</v>
      </c>
      <c r="Z117" t="s">
        <v>216</v>
      </c>
      <c r="AA117" t="s">
        <v>216</v>
      </c>
      <c r="AB117">
        <v>2</v>
      </c>
      <c r="AC117" t="s">
        <v>117</v>
      </c>
      <c r="AD117" t="s">
        <v>117</v>
      </c>
      <c r="AE117" t="s">
        <v>244</v>
      </c>
      <c r="AF117" t="s">
        <v>120</v>
      </c>
      <c r="AG117" s="20">
        <v>11.5</v>
      </c>
      <c r="AH117" s="20">
        <v>10.5</v>
      </c>
      <c r="AI117" s="20">
        <v>11.5</v>
      </c>
      <c r="AJ117" s="22">
        <v>30</v>
      </c>
      <c r="AK117" s="22">
        <v>0</v>
      </c>
      <c r="AL117" s="22">
        <v>30</v>
      </c>
      <c r="AM117" s="77">
        <f t="shared" si="7"/>
        <v>0</v>
      </c>
      <c r="AN117" s="22" t="s">
        <v>245</v>
      </c>
      <c r="AO117" s="58">
        <v>0</v>
      </c>
      <c r="AP117" t="s">
        <v>233</v>
      </c>
      <c r="AQ117" s="22" t="s">
        <v>667</v>
      </c>
      <c r="AR117" t="s">
        <v>66</v>
      </c>
      <c r="AT117" t="s">
        <v>117</v>
      </c>
      <c r="AV117" t="s">
        <v>335</v>
      </c>
      <c r="AW117" t="s">
        <v>182</v>
      </c>
      <c r="AX117" t="s">
        <v>182</v>
      </c>
      <c r="AY117" t="s">
        <v>182</v>
      </c>
      <c r="AZ117" s="28"/>
      <c r="BA117" s="28"/>
    </row>
    <row r="118" spans="1:54" x14ac:dyDescent="0.6">
      <c r="A118" s="14" t="str">
        <f t="shared" si="8"/>
        <v>Y</v>
      </c>
      <c r="B118" s="14" t="str">
        <f t="shared" si="9"/>
        <v>Y</v>
      </c>
      <c r="C118" t="s">
        <v>141</v>
      </c>
      <c r="D118" t="s">
        <v>63</v>
      </c>
      <c r="E118" t="s">
        <v>63</v>
      </c>
      <c r="F118" t="str">
        <f t="shared" si="14"/>
        <v>N_N</v>
      </c>
      <c r="G118" s="22">
        <v>65</v>
      </c>
      <c r="H118" t="s">
        <v>250</v>
      </c>
      <c r="I118" s="5">
        <v>44301</v>
      </c>
      <c r="J118" s="7">
        <v>0.5</v>
      </c>
      <c r="K118" s="20">
        <v>10.5</v>
      </c>
      <c r="L118" s="20">
        <v>10.5</v>
      </c>
      <c r="M118" s="20">
        <v>16</v>
      </c>
      <c r="N118" t="s">
        <v>55</v>
      </c>
      <c r="O118" t="s">
        <v>306</v>
      </c>
      <c r="P118" s="22">
        <v>17</v>
      </c>
      <c r="Q118" t="s">
        <v>307</v>
      </c>
      <c r="R118" t="s">
        <v>308</v>
      </c>
      <c r="S118" s="56" t="s">
        <v>308</v>
      </c>
      <c r="T118">
        <f t="shared" si="11"/>
        <v>7</v>
      </c>
      <c r="U118" s="5">
        <v>44308</v>
      </c>
      <c r="V118" s="7">
        <v>0.50486111111111109</v>
      </c>
      <c r="W118" s="5">
        <v>44315</v>
      </c>
      <c r="X118" s="7">
        <v>0.42291666666666666</v>
      </c>
      <c r="Y118" s="22">
        <f t="shared" si="12"/>
        <v>7</v>
      </c>
      <c r="Z118" t="s">
        <v>253</v>
      </c>
      <c r="AA118" t="s">
        <v>253</v>
      </c>
      <c r="AB118">
        <v>1</v>
      </c>
      <c r="AC118" t="s">
        <v>119</v>
      </c>
      <c r="AD118" t="s">
        <v>119</v>
      </c>
      <c r="AE118" t="s">
        <v>244</v>
      </c>
      <c r="AF118" t="s">
        <v>120</v>
      </c>
      <c r="AG118" s="20">
        <v>3.5</v>
      </c>
      <c r="AH118" s="20">
        <v>2.5</v>
      </c>
      <c r="AI118" s="20">
        <v>0.5</v>
      </c>
      <c r="AJ118" s="22">
        <v>50</v>
      </c>
      <c r="AK118" s="22">
        <v>0</v>
      </c>
      <c r="AL118" s="22">
        <v>50</v>
      </c>
      <c r="AM118" s="77">
        <f t="shared" si="7"/>
        <v>0</v>
      </c>
      <c r="AN118" s="22" t="s">
        <v>245</v>
      </c>
      <c r="AO118" s="58">
        <v>0</v>
      </c>
      <c r="AP118" s="22" t="s">
        <v>233</v>
      </c>
      <c r="AQ118" s="22" t="s">
        <v>667</v>
      </c>
      <c r="AR118" t="s">
        <v>117</v>
      </c>
      <c r="AS118" s="22"/>
      <c r="AT118" s="22" t="s">
        <v>119</v>
      </c>
      <c r="AV118" s="28"/>
      <c r="AW118" s="28"/>
      <c r="AX118" s="28"/>
      <c r="AY118" s="28"/>
      <c r="AZ118" s="28"/>
      <c r="BA118" s="28"/>
    </row>
    <row r="119" spans="1:54" x14ac:dyDescent="0.6">
      <c r="A119" s="14" t="str">
        <f t="shared" si="8"/>
        <v>Y</v>
      </c>
      <c r="B119" s="14" t="str">
        <f t="shared" si="9"/>
        <v>Y</v>
      </c>
      <c r="C119" t="s">
        <v>141</v>
      </c>
      <c r="D119" t="s">
        <v>63</v>
      </c>
      <c r="E119" t="s">
        <v>63</v>
      </c>
      <c r="F119" t="str">
        <f t="shared" si="14"/>
        <v>N_N</v>
      </c>
      <c r="G119" s="22">
        <v>65</v>
      </c>
      <c r="H119" t="s">
        <v>250</v>
      </c>
      <c r="I119" s="5">
        <v>44301</v>
      </c>
      <c r="J119" s="7">
        <v>0.5</v>
      </c>
      <c r="K119" s="20">
        <v>10.5</v>
      </c>
      <c r="L119" s="20">
        <v>10.5</v>
      </c>
      <c r="M119" s="20">
        <v>16</v>
      </c>
      <c r="N119" t="s">
        <v>55</v>
      </c>
      <c r="O119" t="s">
        <v>306</v>
      </c>
      <c r="P119" s="22">
        <v>17</v>
      </c>
      <c r="Q119" t="s">
        <v>307</v>
      </c>
      <c r="R119" t="s">
        <v>308</v>
      </c>
      <c r="S119" s="56" t="s">
        <v>308</v>
      </c>
      <c r="T119">
        <f t="shared" si="11"/>
        <v>7</v>
      </c>
      <c r="U119" s="5">
        <v>44308</v>
      </c>
      <c r="V119" s="7">
        <v>0.50486111111111109</v>
      </c>
      <c r="W119" s="5">
        <v>44315</v>
      </c>
      <c r="X119" s="7">
        <v>0.42291666666666666</v>
      </c>
      <c r="Y119" s="22">
        <f t="shared" si="12"/>
        <v>7</v>
      </c>
      <c r="Z119" t="s">
        <v>253</v>
      </c>
      <c r="AA119" t="s">
        <v>253</v>
      </c>
      <c r="AB119">
        <v>2</v>
      </c>
      <c r="AC119" t="s">
        <v>117</v>
      </c>
      <c r="AD119" t="s">
        <v>117</v>
      </c>
      <c r="AE119" t="s">
        <v>242</v>
      </c>
      <c r="AF119" t="s">
        <v>120</v>
      </c>
      <c r="AG119" s="20">
        <v>6.5</v>
      </c>
      <c r="AH119" s="20">
        <v>5</v>
      </c>
      <c r="AI119" s="20">
        <v>2.5</v>
      </c>
      <c r="AJ119" s="22">
        <v>25</v>
      </c>
      <c r="AK119" s="22">
        <v>0</v>
      </c>
      <c r="AL119" s="22">
        <v>0</v>
      </c>
      <c r="AM119" s="77">
        <f t="shared" si="7"/>
        <v>1</v>
      </c>
      <c r="AN119" s="22" t="s">
        <v>246</v>
      </c>
      <c r="AO119" s="58">
        <v>2</v>
      </c>
      <c r="AP119" t="s">
        <v>234</v>
      </c>
      <c r="AQ119" s="22" t="s">
        <v>667</v>
      </c>
      <c r="AR119" t="s">
        <v>117</v>
      </c>
      <c r="AT119" t="s">
        <v>119</v>
      </c>
      <c r="AV119" s="28"/>
      <c r="AW119" s="28"/>
      <c r="AX119" s="28"/>
      <c r="AY119" s="28"/>
      <c r="AZ119" s="28"/>
      <c r="BA119" s="28"/>
    </row>
    <row r="120" spans="1:54" x14ac:dyDescent="0.6">
      <c r="A120" s="14" t="str">
        <f t="shared" si="8"/>
        <v>Y</v>
      </c>
      <c r="B120" s="14" t="str">
        <f t="shared" si="9"/>
        <v>Y</v>
      </c>
      <c r="C120" t="s">
        <v>141</v>
      </c>
      <c r="D120" t="s">
        <v>141</v>
      </c>
      <c r="E120" t="s">
        <v>63</v>
      </c>
      <c r="F120" t="str">
        <f t="shared" si="14"/>
        <v>Y_N</v>
      </c>
      <c r="G120" s="22">
        <v>66</v>
      </c>
      <c r="H120" t="s">
        <v>260</v>
      </c>
      <c r="I120" s="5">
        <v>44315</v>
      </c>
      <c r="J120" s="7">
        <v>0.63194444444444442</v>
      </c>
      <c r="K120" s="20">
        <v>12.5</v>
      </c>
      <c r="L120" s="20">
        <v>12</v>
      </c>
      <c r="M120" s="20">
        <v>18</v>
      </c>
      <c r="N120" t="s">
        <v>109</v>
      </c>
      <c r="O120" t="s">
        <v>143</v>
      </c>
      <c r="P120" s="22">
        <v>28</v>
      </c>
      <c r="Q120" t="s">
        <v>56</v>
      </c>
      <c r="R120" t="s">
        <v>312</v>
      </c>
      <c r="S120" t="s">
        <v>63</v>
      </c>
      <c r="T120">
        <f t="shared" si="11"/>
        <v>7</v>
      </c>
      <c r="U120" s="5">
        <v>44322</v>
      </c>
      <c r="V120" s="7">
        <v>0.57986111111111105</v>
      </c>
      <c r="W120" s="5">
        <v>44329</v>
      </c>
      <c r="X120" s="7">
        <v>0.46180555555555558</v>
      </c>
      <c r="Y120" s="22">
        <f t="shared" si="12"/>
        <v>7</v>
      </c>
      <c r="Z120" t="s">
        <v>216</v>
      </c>
      <c r="AA120" t="s">
        <v>216</v>
      </c>
      <c r="AB120">
        <v>1</v>
      </c>
      <c r="AC120" t="s">
        <v>66</v>
      </c>
      <c r="AD120" t="s">
        <v>351</v>
      </c>
      <c r="AE120" t="s">
        <v>242</v>
      </c>
      <c r="AF120" t="s">
        <v>67</v>
      </c>
      <c r="AG120" s="20">
        <v>8</v>
      </c>
      <c r="AH120" s="20">
        <v>4.5</v>
      </c>
      <c r="AI120" s="20">
        <v>5.5</v>
      </c>
      <c r="AJ120" s="22">
        <v>85</v>
      </c>
      <c r="AK120" s="22">
        <v>1</v>
      </c>
      <c r="AL120" s="22">
        <v>0</v>
      </c>
      <c r="AM120" s="77">
        <f t="shared" si="7"/>
        <v>1</v>
      </c>
      <c r="AN120" s="22" t="s">
        <v>246</v>
      </c>
      <c r="AO120" s="58">
        <v>2</v>
      </c>
      <c r="AP120" s="22" t="s">
        <v>234</v>
      </c>
      <c r="AQ120" s="22" t="s">
        <v>667</v>
      </c>
      <c r="AR120" t="s">
        <v>66</v>
      </c>
      <c r="AT120" s="22" t="s">
        <v>117</v>
      </c>
      <c r="AV120" t="s">
        <v>325</v>
      </c>
      <c r="AW120" t="s">
        <v>327</v>
      </c>
      <c r="AX120">
        <v>0</v>
      </c>
      <c r="AY120" t="s">
        <v>328</v>
      </c>
      <c r="AZ120" s="28"/>
      <c r="BA120" s="28"/>
    </row>
    <row r="121" spans="1:54" x14ac:dyDescent="0.6">
      <c r="A121" s="14" t="str">
        <f t="shared" si="8"/>
        <v>Y</v>
      </c>
      <c r="B121" s="14" t="str">
        <f t="shared" si="9"/>
        <v>Y</v>
      </c>
      <c r="C121" t="s">
        <v>141</v>
      </c>
      <c r="D121" t="s">
        <v>141</v>
      </c>
      <c r="E121" t="s">
        <v>63</v>
      </c>
      <c r="F121" t="str">
        <f t="shared" si="14"/>
        <v>Y_N</v>
      </c>
      <c r="G121" s="22">
        <v>66</v>
      </c>
      <c r="H121" t="s">
        <v>260</v>
      </c>
      <c r="I121" s="5">
        <v>44315</v>
      </c>
      <c r="J121" s="7">
        <v>0.63194444444444442</v>
      </c>
      <c r="K121" s="20">
        <v>12.5</v>
      </c>
      <c r="L121" s="20">
        <v>12</v>
      </c>
      <c r="M121" s="20">
        <v>18</v>
      </c>
      <c r="N121" t="s">
        <v>109</v>
      </c>
      <c r="O121" t="s">
        <v>143</v>
      </c>
      <c r="P121" s="22">
        <v>28</v>
      </c>
      <c r="Q121" t="s">
        <v>56</v>
      </c>
      <c r="R121" t="s">
        <v>312</v>
      </c>
      <c r="S121" t="s">
        <v>63</v>
      </c>
      <c r="T121">
        <f t="shared" si="11"/>
        <v>7</v>
      </c>
      <c r="U121" s="5">
        <v>44322</v>
      </c>
      <c r="V121" s="7">
        <v>0.57986111111111105</v>
      </c>
      <c r="W121" s="5">
        <v>44329</v>
      </c>
      <c r="X121" s="7">
        <v>0.46180555555555558</v>
      </c>
      <c r="Y121" s="22">
        <f t="shared" si="12"/>
        <v>7</v>
      </c>
      <c r="Z121" t="s">
        <v>216</v>
      </c>
      <c r="AA121" t="s">
        <v>216</v>
      </c>
      <c r="AB121">
        <v>2</v>
      </c>
      <c r="AC121" t="s">
        <v>117</v>
      </c>
      <c r="AD121" t="s">
        <v>117</v>
      </c>
      <c r="AE121" t="s">
        <v>244</v>
      </c>
      <c r="AF121" t="s">
        <v>120</v>
      </c>
      <c r="AG121" s="20">
        <v>11</v>
      </c>
      <c r="AH121" s="20">
        <v>5</v>
      </c>
      <c r="AI121" s="20">
        <v>4</v>
      </c>
      <c r="AJ121" s="22">
        <v>35</v>
      </c>
      <c r="AK121" s="22">
        <v>0</v>
      </c>
      <c r="AL121" s="22">
        <v>35</v>
      </c>
      <c r="AM121" s="77">
        <f t="shared" si="7"/>
        <v>0</v>
      </c>
      <c r="AN121" s="22" t="s">
        <v>245</v>
      </c>
      <c r="AO121" s="58">
        <v>0</v>
      </c>
      <c r="AP121" t="s">
        <v>233</v>
      </c>
      <c r="AQ121" s="22" t="s">
        <v>667</v>
      </c>
      <c r="AR121" t="s">
        <v>66</v>
      </c>
      <c r="AT121" t="s">
        <v>117</v>
      </c>
      <c r="AV121" t="s">
        <v>325</v>
      </c>
      <c r="AW121" t="s">
        <v>182</v>
      </c>
      <c r="AX121" t="s">
        <v>182</v>
      </c>
      <c r="AY121" t="s">
        <v>182</v>
      </c>
      <c r="AZ121" s="28"/>
      <c r="BA121" s="28"/>
    </row>
    <row r="122" spans="1:54" x14ac:dyDescent="0.6">
      <c r="A122" s="14" t="str">
        <f t="shared" si="8"/>
        <v>Y</v>
      </c>
      <c r="B122" s="14" t="str">
        <f t="shared" si="9"/>
        <v>Y</v>
      </c>
      <c r="C122" t="s">
        <v>141</v>
      </c>
      <c r="D122" t="s">
        <v>141</v>
      </c>
      <c r="E122" t="s">
        <v>63</v>
      </c>
      <c r="F122" t="str">
        <f t="shared" si="14"/>
        <v>Y_N</v>
      </c>
      <c r="G122" s="22">
        <v>67</v>
      </c>
      <c r="H122" t="s">
        <v>49</v>
      </c>
      <c r="I122" s="5">
        <v>44315</v>
      </c>
      <c r="J122" s="7">
        <v>0.63194444444444442</v>
      </c>
      <c r="K122" s="20">
        <v>8.5</v>
      </c>
      <c r="L122" s="20">
        <v>8.5</v>
      </c>
      <c r="M122" s="20">
        <v>15</v>
      </c>
      <c r="N122" t="s">
        <v>108</v>
      </c>
      <c r="O122" t="s">
        <v>189</v>
      </c>
      <c r="P122" s="22">
        <v>29</v>
      </c>
      <c r="Q122" t="s">
        <v>56</v>
      </c>
      <c r="R122" t="s">
        <v>313</v>
      </c>
      <c r="S122" t="s">
        <v>63</v>
      </c>
      <c r="T122">
        <f t="shared" si="11"/>
        <v>7</v>
      </c>
      <c r="U122" s="5">
        <v>44322</v>
      </c>
      <c r="V122" s="7">
        <v>0.48958333333333331</v>
      </c>
      <c r="W122" s="5">
        <v>44329</v>
      </c>
      <c r="X122" s="7">
        <v>0.45902777777777781</v>
      </c>
      <c r="Y122" s="22">
        <f t="shared" si="12"/>
        <v>7</v>
      </c>
      <c r="Z122" t="s">
        <v>216</v>
      </c>
      <c r="AA122" t="s">
        <v>216</v>
      </c>
      <c r="AB122">
        <v>1</v>
      </c>
      <c r="AC122" t="s">
        <v>66</v>
      </c>
      <c r="AD122" t="s">
        <v>351</v>
      </c>
      <c r="AE122" t="s">
        <v>244</v>
      </c>
      <c r="AF122" t="s">
        <v>67</v>
      </c>
      <c r="AG122">
        <v>4.5</v>
      </c>
      <c r="AH122" s="20">
        <v>3.5</v>
      </c>
      <c r="AI122" s="20">
        <v>7.5</v>
      </c>
      <c r="AJ122" s="22">
        <v>50</v>
      </c>
      <c r="AK122" s="22">
        <v>1</v>
      </c>
      <c r="AL122" s="22">
        <v>0</v>
      </c>
      <c r="AM122" s="77">
        <f t="shared" si="7"/>
        <v>1</v>
      </c>
      <c r="AN122" s="22" t="s">
        <v>246</v>
      </c>
      <c r="AO122" s="58">
        <v>2</v>
      </c>
      <c r="AP122" s="22" t="s">
        <v>234</v>
      </c>
      <c r="AQ122" s="22" t="s">
        <v>668</v>
      </c>
      <c r="AR122" t="s">
        <v>66</v>
      </c>
      <c r="AS122" s="22" t="s">
        <v>117</v>
      </c>
      <c r="AV122" t="s">
        <v>141</v>
      </c>
      <c r="AW122" t="s">
        <v>321</v>
      </c>
      <c r="AX122">
        <v>0</v>
      </c>
      <c r="AY122" t="s">
        <v>322</v>
      </c>
      <c r="AZ122" s="28"/>
      <c r="BA122" s="28"/>
      <c r="BB122" s="20" t="s">
        <v>326</v>
      </c>
    </row>
    <row r="123" spans="1:54" x14ac:dyDescent="0.6">
      <c r="A123" s="14" t="str">
        <f t="shared" si="8"/>
        <v>Y</v>
      </c>
      <c r="B123" s="14" t="str">
        <f t="shared" si="9"/>
        <v>Y</v>
      </c>
      <c r="C123" t="s">
        <v>141</v>
      </c>
      <c r="D123" t="s">
        <v>141</v>
      </c>
      <c r="E123" t="s">
        <v>63</v>
      </c>
      <c r="F123" t="str">
        <f t="shared" si="14"/>
        <v>Y_N</v>
      </c>
      <c r="G123" s="22">
        <v>67</v>
      </c>
      <c r="H123" t="s">
        <v>49</v>
      </c>
      <c r="I123" s="5">
        <v>44315</v>
      </c>
      <c r="J123" s="7">
        <v>0.63194444444444442</v>
      </c>
      <c r="K123" s="20">
        <v>8.5</v>
      </c>
      <c r="L123" s="20">
        <v>8.5</v>
      </c>
      <c r="M123" s="20">
        <v>15</v>
      </c>
      <c r="N123" t="s">
        <v>108</v>
      </c>
      <c r="O123" t="s">
        <v>189</v>
      </c>
      <c r="P123" s="22">
        <v>29</v>
      </c>
      <c r="Q123" t="s">
        <v>56</v>
      </c>
      <c r="R123" t="s">
        <v>313</v>
      </c>
      <c r="S123" t="s">
        <v>63</v>
      </c>
      <c r="T123">
        <f t="shared" si="11"/>
        <v>7</v>
      </c>
      <c r="U123" s="5">
        <v>44322</v>
      </c>
      <c r="V123" s="7">
        <v>0.48958333333333331</v>
      </c>
      <c r="W123" s="5">
        <v>44329</v>
      </c>
      <c r="X123" s="7">
        <v>0.45902777777777781</v>
      </c>
      <c r="Y123" s="22">
        <f t="shared" si="12"/>
        <v>7</v>
      </c>
      <c r="Z123" t="s">
        <v>216</v>
      </c>
      <c r="AA123" t="s">
        <v>216</v>
      </c>
      <c r="AB123">
        <v>2</v>
      </c>
      <c r="AC123" t="s">
        <v>117</v>
      </c>
      <c r="AD123" t="s">
        <v>117</v>
      </c>
      <c r="AE123" t="s">
        <v>242</v>
      </c>
      <c r="AF123" t="s">
        <v>120</v>
      </c>
      <c r="AG123" s="20">
        <v>5.5</v>
      </c>
      <c r="AH123" s="20">
        <v>3.5</v>
      </c>
      <c r="AI123" s="20">
        <v>3.5</v>
      </c>
      <c r="AJ123" s="22">
        <v>85</v>
      </c>
      <c r="AK123" s="22">
        <v>0</v>
      </c>
      <c r="AL123" s="22">
        <v>0</v>
      </c>
      <c r="AM123" s="77">
        <f t="shared" si="7"/>
        <v>1</v>
      </c>
      <c r="AN123" s="22" t="s">
        <v>247</v>
      </c>
      <c r="AO123" s="58">
        <v>1</v>
      </c>
      <c r="AP123" t="s">
        <v>234</v>
      </c>
      <c r="AQ123" s="22" t="s">
        <v>668</v>
      </c>
      <c r="AR123" t="s">
        <v>66</v>
      </c>
      <c r="AS123" s="22" t="s">
        <v>117</v>
      </c>
      <c r="AV123" t="s">
        <v>141</v>
      </c>
      <c r="AW123" t="s">
        <v>323</v>
      </c>
      <c r="AX123">
        <v>12</v>
      </c>
      <c r="AY123" s="29">
        <v>44326.291666666664</v>
      </c>
      <c r="AZ123" s="36"/>
      <c r="BA123" s="36"/>
      <c r="BB123" s="20" t="s">
        <v>326</v>
      </c>
    </row>
    <row r="124" spans="1:54" x14ac:dyDescent="0.6">
      <c r="A124" s="14" t="str">
        <f t="shared" si="8"/>
        <v>Y</v>
      </c>
      <c r="B124" s="14" t="str">
        <f t="shared" si="9"/>
        <v>Y</v>
      </c>
      <c r="C124" t="s">
        <v>141</v>
      </c>
      <c r="D124" t="s">
        <v>141</v>
      </c>
      <c r="E124" t="s">
        <v>63</v>
      </c>
      <c r="F124" t="str">
        <f t="shared" si="14"/>
        <v>Y_N</v>
      </c>
      <c r="G124" s="22">
        <v>68</v>
      </c>
      <c r="H124" t="s">
        <v>50</v>
      </c>
      <c r="I124" s="5">
        <v>44315</v>
      </c>
      <c r="J124" s="7">
        <v>0.63194444444444442</v>
      </c>
      <c r="K124" s="20">
        <v>11</v>
      </c>
      <c r="L124" s="20">
        <v>11.5</v>
      </c>
      <c r="M124" s="20">
        <v>17</v>
      </c>
      <c r="N124" t="s">
        <v>108</v>
      </c>
      <c r="O124" t="s">
        <v>167</v>
      </c>
      <c r="P124" s="22">
        <v>26</v>
      </c>
      <c r="Q124" t="s">
        <v>145</v>
      </c>
      <c r="R124" t="s">
        <v>314</v>
      </c>
      <c r="S124" t="s">
        <v>63</v>
      </c>
      <c r="T124">
        <f t="shared" si="11"/>
        <v>7</v>
      </c>
      <c r="U124" s="5">
        <v>44322</v>
      </c>
      <c r="V124" s="7">
        <v>0.47916666666666669</v>
      </c>
      <c r="W124" s="5">
        <v>44329</v>
      </c>
      <c r="X124" s="7">
        <v>0.45694444444444443</v>
      </c>
      <c r="Y124" s="22">
        <f t="shared" si="12"/>
        <v>7</v>
      </c>
      <c r="Z124" t="s">
        <v>253</v>
      </c>
      <c r="AA124" t="s">
        <v>253</v>
      </c>
      <c r="AB124">
        <v>1</v>
      </c>
      <c r="AC124" t="s">
        <v>117</v>
      </c>
      <c r="AD124" t="s">
        <v>117</v>
      </c>
      <c r="AE124" t="s">
        <v>244</v>
      </c>
      <c r="AF124" t="s">
        <v>120</v>
      </c>
      <c r="AG124" s="20">
        <v>8.5</v>
      </c>
      <c r="AH124" s="20">
        <v>7</v>
      </c>
      <c r="AI124" s="20">
        <v>4</v>
      </c>
      <c r="AJ124" s="22">
        <v>40</v>
      </c>
      <c r="AK124" s="22">
        <v>0</v>
      </c>
      <c r="AL124" s="22">
        <v>40</v>
      </c>
      <c r="AM124" s="77">
        <f t="shared" si="7"/>
        <v>0</v>
      </c>
      <c r="AN124" s="22" t="s">
        <v>245</v>
      </c>
      <c r="AO124" s="58">
        <v>0</v>
      </c>
      <c r="AP124" s="22" t="s">
        <v>233</v>
      </c>
      <c r="AQ124" s="22" t="s">
        <v>669</v>
      </c>
      <c r="AT124" t="s">
        <v>117</v>
      </c>
      <c r="AU124" t="s">
        <v>119</v>
      </c>
      <c r="AV124" t="s">
        <v>324</v>
      </c>
      <c r="AW124" t="s">
        <v>182</v>
      </c>
      <c r="AX124" t="s">
        <v>182</v>
      </c>
      <c r="AY124" t="s">
        <v>182</v>
      </c>
      <c r="AZ124" s="28"/>
      <c r="BA124" s="28"/>
    </row>
    <row r="125" spans="1:54" x14ac:dyDescent="0.6">
      <c r="A125" s="14" t="str">
        <f t="shared" si="8"/>
        <v>Y</v>
      </c>
      <c r="B125" s="14" t="str">
        <f t="shared" si="9"/>
        <v>Y</v>
      </c>
      <c r="C125" t="s">
        <v>141</v>
      </c>
      <c r="D125" t="s">
        <v>141</v>
      </c>
      <c r="E125" t="s">
        <v>63</v>
      </c>
      <c r="F125" t="str">
        <f t="shared" si="14"/>
        <v>Y_N</v>
      </c>
      <c r="G125" s="22">
        <v>68</v>
      </c>
      <c r="H125" t="s">
        <v>50</v>
      </c>
      <c r="I125" s="5">
        <v>44315</v>
      </c>
      <c r="J125" s="7">
        <v>0.63194444444444442</v>
      </c>
      <c r="K125" s="20">
        <v>11</v>
      </c>
      <c r="L125" s="20">
        <v>11.5</v>
      </c>
      <c r="M125" s="20">
        <v>17</v>
      </c>
      <c r="N125" t="s">
        <v>108</v>
      </c>
      <c r="O125" t="s">
        <v>167</v>
      </c>
      <c r="P125" s="22">
        <v>26</v>
      </c>
      <c r="Q125" t="s">
        <v>145</v>
      </c>
      <c r="R125" t="s">
        <v>314</v>
      </c>
      <c r="S125" t="s">
        <v>63</v>
      </c>
      <c r="T125">
        <f t="shared" si="11"/>
        <v>7</v>
      </c>
      <c r="U125" s="5">
        <v>44322</v>
      </c>
      <c r="V125" s="7">
        <v>0.47916666666666669</v>
      </c>
      <c r="W125" s="5">
        <v>44329</v>
      </c>
      <c r="X125" s="7">
        <v>0.45694444444444443</v>
      </c>
      <c r="Y125" s="22">
        <f t="shared" si="12"/>
        <v>7</v>
      </c>
      <c r="Z125" t="s">
        <v>253</v>
      </c>
      <c r="AA125" t="s">
        <v>253</v>
      </c>
      <c r="AB125">
        <v>2</v>
      </c>
      <c r="AC125" t="s">
        <v>119</v>
      </c>
      <c r="AD125" t="s">
        <v>119</v>
      </c>
      <c r="AE125" t="s">
        <v>242</v>
      </c>
      <c r="AF125" t="s">
        <v>120</v>
      </c>
      <c r="AG125" s="20">
        <v>7.5</v>
      </c>
      <c r="AH125" s="20">
        <v>5</v>
      </c>
      <c r="AI125" s="20">
        <v>4</v>
      </c>
      <c r="AJ125" s="22">
        <v>35</v>
      </c>
      <c r="AK125" s="22">
        <v>0</v>
      </c>
      <c r="AL125" s="22">
        <v>35</v>
      </c>
      <c r="AM125" s="77">
        <f t="shared" si="7"/>
        <v>0</v>
      </c>
      <c r="AN125" s="22" t="s">
        <v>245</v>
      </c>
      <c r="AO125" s="58">
        <v>0</v>
      </c>
      <c r="AP125" t="s">
        <v>233</v>
      </c>
      <c r="AQ125" s="22" t="s">
        <v>669</v>
      </c>
      <c r="AT125" t="s">
        <v>117</v>
      </c>
      <c r="AU125" t="s">
        <v>119</v>
      </c>
      <c r="AV125" t="s">
        <v>324</v>
      </c>
      <c r="AW125" t="s">
        <v>182</v>
      </c>
      <c r="AX125" t="s">
        <v>182</v>
      </c>
      <c r="AY125" t="s">
        <v>182</v>
      </c>
      <c r="AZ125" s="28"/>
      <c r="BA125" s="28"/>
    </row>
    <row r="126" spans="1:54" x14ac:dyDescent="0.6">
      <c r="A126" s="14" t="str">
        <f t="shared" si="8"/>
        <v>Y</v>
      </c>
      <c r="B126" s="14" t="str">
        <f t="shared" si="9"/>
        <v>Y</v>
      </c>
      <c r="C126" t="s">
        <v>141</v>
      </c>
      <c r="D126" t="s">
        <v>141</v>
      </c>
      <c r="E126" t="s">
        <v>63</v>
      </c>
      <c r="F126" t="str">
        <f t="shared" si="14"/>
        <v>Y_N</v>
      </c>
      <c r="G126" s="22">
        <v>69</v>
      </c>
      <c r="H126" s="11" t="s">
        <v>51</v>
      </c>
      <c r="I126" s="5">
        <v>44315</v>
      </c>
      <c r="J126" s="7">
        <v>0.63194444444444442</v>
      </c>
      <c r="K126" s="20">
        <v>12</v>
      </c>
      <c r="L126" s="20">
        <v>12.5</v>
      </c>
      <c r="M126" s="20">
        <v>17</v>
      </c>
      <c r="N126" t="s">
        <v>109</v>
      </c>
      <c r="O126" t="s">
        <v>143</v>
      </c>
      <c r="P126" s="22">
        <v>28</v>
      </c>
      <c r="Q126" t="s">
        <v>315</v>
      </c>
      <c r="R126" t="s">
        <v>271</v>
      </c>
      <c r="S126" s="56" t="s">
        <v>271</v>
      </c>
      <c r="T126">
        <f t="shared" si="11"/>
        <v>7</v>
      </c>
      <c r="U126" s="5">
        <v>44322</v>
      </c>
      <c r="V126" s="7">
        <v>0.46875</v>
      </c>
      <c r="W126" s="5">
        <v>44329</v>
      </c>
      <c r="X126" s="7">
        <v>0.45347222222222222</v>
      </c>
      <c r="Y126" s="22">
        <f t="shared" si="12"/>
        <v>7</v>
      </c>
      <c r="Z126" t="s">
        <v>218</v>
      </c>
      <c r="AA126" t="s">
        <v>218</v>
      </c>
      <c r="AB126">
        <v>1</v>
      </c>
      <c r="AC126" t="s">
        <v>66</v>
      </c>
      <c r="AD126" t="s">
        <v>351</v>
      </c>
      <c r="AE126" t="s">
        <v>244</v>
      </c>
      <c r="AF126" t="s">
        <v>67</v>
      </c>
      <c r="AG126" s="20">
        <v>6</v>
      </c>
      <c r="AH126" s="20">
        <v>5</v>
      </c>
      <c r="AI126" s="20">
        <v>5.5</v>
      </c>
      <c r="AJ126" s="22">
        <v>40</v>
      </c>
      <c r="AK126" s="22">
        <v>1</v>
      </c>
      <c r="AL126" s="22">
        <v>0</v>
      </c>
      <c r="AM126" s="77">
        <f t="shared" si="7"/>
        <v>1</v>
      </c>
      <c r="AN126" s="22" t="s">
        <v>246</v>
      </c>
      <c r="AO126" s="58">
        <v>2</v>
      </c>
      <c r="AP126" s="22" t="s">
        <v>234</v>
      </c>
      <c r="AQ126" s="22" t="s">
        <v>667</v>
      </c>
      <c r="AR126" t="s">
        <v>66</v>
      </c>
      <c r="AT126" s="22" t="s">
        <v>119</v>
      </c>
      <c r="AV126" t="s">
        <v>325</v>
      </c>
      <c r="AW126" t="s">
        <v>320</v>
      </c>
      <c r="AX126" t="s">
        <v>182</v>
      </c>
      <c r="AY126" t="s">
        <v>182</v>
      </c>
      <c r="AZ126" s="28"/>
      <c r="BA126" s="28"/>
    </row>
    <row r="127" spans="1:54" x14ac:dyDescent="0.6">
      <c r="A127" s="14" t="str">
        <f t="shared" si="8"/>
        <v>Y</v>
      </c>
      <c r="B127" s="14" t="str">
        <f t="shared" si="9"/>
        <v>Y</v>
      </c>
      <c r="C127" t="s">
        <v>141</v>
      </c>
      <c r="D127" t="s">
        <v>141</v>
      </c>
      <c r="E127" t="s">
        <v>63</v>
      </c>
      <c r="F127" t="str">
        <f t="shared" si="14"/>
        <v>Y_N</v>
      </c>
      <c r="G127" s="22">
        <v>69</v>
      </c>
      <c r="H127" t="s">
        <v>51</v>
      </c>
      <c r="I127" s="5">
        <v>44315</v>
      </c>
      <c r="J127" s="7">
        <v>0.63194444444444442</v>
      </c>
      <c r="K127" s="20">
        <v>12</v>
      </c>
      <c r="L127" s="20">
        <v>12.5</v>
      </c>
      <c r="M127" s="20">
        <v>17</v>
      </c>
      <c r="N127" t="s">
        <v>109</v>
      </c>
      <c r="O127" t="s">
        <v>143</v>
      </c>
      <c r="P127" s="22">
        <v>28</v>
      </c>
      <c r="Q127" t="s">
        <v>315</v>
      </c>
      <c r="R127" t="s">
        <v>271</v>
      </c>
      <c r="S127" s="56" t="s">
        <v>271</v>
      </c>
      <c r="T127">
        <f t="shared" si="11"/>
        <v>7</v>
      </c>
      <c r="U127" s="5">
        <v>44322</v>
      </c>
      <c r="V127" s="7">
        <v>0.46875</v>
      </c>
      <c r="W127" s="5">
        <v>44329</v>
      </c>
      <c r="X127" s="7">
        <v>0.45347222222222222</v>
      </c>
      <c r="Y127" s="22">
        <f t="shared" si="12"/>
        <v>7</v>
      </c>
      <c r="Z127" t="s">
        <v>218</v>
      </c>
      <c r="AA127" t="s">
        <v>218</v>
      </c>
      <c r="AB127">
        <v>2</v>
      </c>
      <c r="AC127" t="s">
        <v>119</v>
      </c>
      <c r="AD127" t="s">
        <v>119</v>
      </c>
      <c r="AE127" t="s">
        <v>242</v>
      </c>
      <c r="AF127" t="s">
        <v>120</v>
      </c>
      <c r="AG127" s="20">
        <v>6.5</v>
      </c>
      <c r="AH127" s="20">
        <v>5</v>
      </c>
      <c r="AI127" s="20">
        <v>4</v>
      </c>
      <c r="AJ127" s="22">
        <v>30</v>
      </c>
      <c r="AK127" s="22">
        <v>0</v>
      </c>
      <c r="AL127" s="22">
        <v>30</v>
      </c>
      <c r="AM127" s="77">
        <f t="shared" si="7"/>
        <v>0</v>
      </c>
      <c r="AN127" s="22" t="s">
        <v>245</v>
      </c>
      <c r="AO127" s="58">
        <v>0</v>
      </c>
      <c r="AP127" t="s">
        <v>233</v>
      </c>
      <c r="AQ127" s="22" t="s">
        <v>667</v>
      </c>
      <c r="AR127" t="s">
        <v>66</v>
      </c>
      <c r="AT127" t="s">
        <v>119</v>
      </c>
      <c r="AV127" t="s">
        <v>325</v>
      </c>
      <c r="AW127" t="s">
        <v>182</v>
      </c>
      <c r="AX127" t="s">
        <v>182</v>
      </c>
      <c r="AY127" t="s">
        <v>182</v>
      </c>
      <c r="AZ127" s="28"/>
      <c r="BA127" s="28"/>
    </row>
    <row r="128" spans="1:54" x14ac:dyDescent="0.6">
      <c r="A128" s="14" t="str">
        <f t="shared" si="8"/>
        <v>Y</v>
      </c>
      <c r="B128" s="14" t="str">
        <f t="shared" si="9"/>
        <v>Y</v>
      </c>
      <c r="C128" t="s">
        <v>141</v>
      </c>
      <c r="D128" t="s">
        <v>141</v>
      </c>
      <c r="E128" t="s">
        <v>63</v>
      </c>
      <c r="F128" t="str">
        <f t="shared" si="14"/>
        <v>Y_N</v>
      </c>
      <c r="G128" s="22">
        <v>70</v>
      </c>
      <c r="H128" t="s">
        <v>250</v>
      </c>
      <c r="I128" s="5">
        <v>44315</v>
      </c>
      <c r="J128" s="7">
        <v>0.63194444444444442</v>
      </c>
      <c r="K128" s="20">
        <v>11.5</v>
      </c>
      <c r="L128" s="20">
        <v>11.5</v>
      </c>
      <c r="M128" s="20">
        <v>19</v>
      </c>
      <c r="N128" t="s">
        <v>109</v>
      </c>
      <c r="O128" t="s">
        <v>142</v>
      </c>
      <c r="P128" s="22">
        <v>28</v>
      </c>
      <c r="Q128" t="s">
        <v>258</v>
      </c>
      <c r="R128" t="s">
        <v>192</v>
      </c>
      <c r="S128" s="56" t="s">
        <v>192</v>
      </c>
      <c r="T128">
        <f t="shared" si="11"/>
        <v>7</v>
      </c>
      <c r="U128" s="5">
        <v>44322</v>
      </c>
      <c r="V128" s="7">
        <v>0.4548611111111111</v>
      </c>
      <c r="W128" s="5">
        <v>44329</v>
      </c>
      <c r="X128" s="7">
        <v>0.4513888888888889</v>
      </c>
      <c r="Y128" s="22">
        <f t="shared" si="12"/>
        <v>7</v>
      </c>
      <c r="Z128" t="s">
        <v>223</v>
      </c>
      <c r="AA128" t="s">
        <v>223</v>
      </c>
      <c r="AB128">
        <v>1</v>
      </c>
      <c r="AC128" t="s">
        <v>46</v>
      </c>
      <c r="AD128" t="s">
        <v>352</v>
      </c>
      <c r="AE128" t="s">
        <v>244</v>
      </c>
      <c r="AF128" t="s">
        <v>47</v>
      </c>
      <c r="AG128" s="20">
        <v>9.5</v>
      </c>
      <c r="AH128" s="20">
        <v>6</v>
      </c>
      <c r="AI128" s="20">
        <v>5.5</v>
      </c>
      <c r="AJ128" s="22">
        <v>60</v>
      </c>
      <c r="AK128" s="22">
        <v>0</v>
      </c>
      <c r="AL128" s="22">
        <v>60</v>
      </c>
      <c r="AM128" s="77">
        <f t="shared" si="7"/>
        <v>0</v>
      </c>
      <c r="AN128" s="22" t="s">
        <v>245</v>
      </c>
      <c r="AO128" s="58">
        <v>0</v>
      </c>
      <c r="AP128" s="22" t="s">
        <v>234</v>
      </c>
      <c r="AQ128" s="22" t="s">
        <v>667</v>
      </c>
      <c r="AR128" t="s">
        <v>117</v>
      </c>
      <c r="AT128" s="22" t="s">
        <v>46</v>
      </c>
      <c r="AV128" t="s">
        <v>325</v>
      </c>
      <c r="AW128" t="s">
        <v>182</v>
      </c>
      <c r="AX128" t="s">
        <v>182</v>
      </c>
      <c r="AY128" t="s">
        <v>182</v>
      </c>
      <c r="AZ128" s="28"/>
      <c r="BA128" s="28"/>
    </row>
    <row r="129" spans="1:53" x14ac:dyDescent="0.6">
      <c r="A129" s="14" t="str">
        <f t="shared" si="8"/>
        <v>Y</v>
      </c>
      <c r="B129" s="14" t="str">
        <f t="shared" si="9"/>
        <v>Y</v>
      </c>
      <c r="C129" t="s">
        <v>141</v>
      </c>
      <c r="D129" t="s">
        <v>141</v>
      </c>
      <c r="E129" t="s">
        <v>63</v>
      </c>
      <c r="F129" t="str">
        <f t="shared" si="14"/>
        <v>Y_N</v>
      </c>
      <c r="G129" s="22">
        <v>70</v>
      </c>
      <c r="H129" t="s">
        <v>250</v>
      </c>
      <c r="I129" s="5">
        <v>44315</v>
      </c>
      <c r="J129" s="7">
        <v>0.63194444444444442</v>
      </c>
      <c r="K129" s="20">
        <v>11.5</v>
      </c>
      <c r="L129" s="20">
        <v>11.5</v>
      </c>
      <c r="M129" s="20">
        <v>19</v>
      </c>
      <c r="N129" t="s">
        <v>109</v>
      </c>
      <c r="O129" t="s">
        <v>142</v>
      </c>
      <c r="P129" s="22">
        <v>28</v>
      </c>
      <c r="Q129" t="s">
        <v>258</v>
      </c>
      <c r="R129" t="s">
        <v>192</v>
      </c>
      <c r="S129" s="56" t="s">
        <v>192</v>
      </c>
      <c r="T129">
        <f t="shared" si="11"/>
        <v>7</v>
      </c>
      <c r="U129" s="5">
        <v>44322</v>
      </c>
      <c r="V129" s="7">
        <v>0.4548611111111111</v>
      </c>
      <c r="W129" s="5">
        <v>44329</v>
      </c>
      <c r="X129" s="7">
        <v>0.4513888888888889</v>
      </c>
      <c r="Y129" s="22">
        <f t="shared" si="12"/>
        <v>7</v>
      </c>
      <c r="Z129" t="s">
        <v>223</v>
      </c>
      <c r="AA129" t="s">
        <v>223</v>
      </c>
      <c r="AB129">
        <v>2</v>
      </c>
      <c r="AC129" t="s">
        <v>117</v>
      </c>
      <c r="AD129" t="s">
        <v>117</v>
      </c>
      <c r="AE129" t="s">
        <v>242</v>
      </c>
      <c r="AF129" t="s">
        <v>120</v>
      </c>
      <c r="AG129" s="20">
        <v>18</v>
      </c>
      <c r="AH129" s="20">
        <v>9</v>
      </c>
      <c r="AI129" s="20">
        <v>8.5</v>
      </c>
      <c r="AJ129" s="22">
        <v>50</v>
      </c>
      <c r="AK129" s="22">
        <v>0</v>
      </c>
      <c r="AL129" s="22">
        <v>0</v>
      </c>
      <c r="AM129" s="77">
        <f t="shared" si="7"/>
        <v>1</v>
      </c>
      <c r="AN129" s="22" t="s">
        <v>246</v>
      </c>
      <c r="AO129" s="58">
        <v>2</v>
      </c>
      <c r="AP129" t="s">
        <v>234</v>
      </c>
      <c r="AQ129" s="22" t="s">
        <v>667</v>
      </c>
      <c r="AR129" t="s">
        <v>117</v>
      </c>
      <c r="AT129" t="s">
        <v>46</v>
      </c>
      <c r="AV129" t="s">
        <v>325</v>
      </c>
      <c r="AW129" t="s">
        <v>182</v>
      </c>
      <c r="AX129">
        <v>12</v>
      </c>
      <c r="AY129" s="29">
        <v>44324.291666666664</v>
      </c>
      <c r="AZ129" s="36"/>
      <c r="BA129" s="36"/>
    </row>
    <row r="130" spans="1:53" x14ac:dyDescent="0.6">
      <c r="A130" s="14" t="str">
        <f t="shared" si="8"/>
        <v>Y</v>
      </c>
      <c r="B130" s="14" t="str">
        <f t="shared" si="9"/>
        <v>Y</v>
      </c>
      <c r="C130" t="s">
        <v>141</v>
      </c>
      <c r="D130" t="s">
        <v>63</v>
      </c>
      <c r="E130" t="s">
        <v>63</v>
      </c>
      <c r="F130" t="str">
        <f>D130&amp;"_"&amp;E130</f>
        <v>N_N</v>
      </c>
      <c r="G130" s="22">
        <v>71</v>
      </c>
      <c r="H130" t="s">
        <v>250</v>
      </c>
      <c r="I130" s="5">
        <v>44329</v>
      </c>
      <c r="J130" s="7">
        <v>0.46527777777777773</v>
      </c>
      <c r="K130" s="20">
        <v>11</v>
      </c>
      <c r="L130" s="20">
        <v>11</v>
      </c>
      <c r="M130" s="20">
        <v>19</v>
      </c>
      <c r="N130" t="s">
        <v>71</v>
      </c>
      <c r="O130" t="s">
        <v>256</v>
      </c>
      <c r="P130" s="22">
        <v>45</v>
      </c>
      <c r="Q130" t="s">
        <v>106</v>
      </c>
      <c r="R130" t="s">
        <v>129</v>
      </c>
      <c r="S130" s="56" t="s">
        <v>129</v>
      </c>
      <c r="T130">
        <f t="shared" si="11"/>
        <v>7</v>
      </c>
      <c r="U130" s="5">
        <v>44336</v>
      </c>
      <c r="V130" s="7">
        <v>0.46527777777777773</v>
      </c>
      <c r="W130" s="5">
        <v>44343</v>
      </c>
      <c r="X130" s="7">
        <v>0.43055555555555558</v>
      </c>
      <c r="Y130" s="22">
        <f t="shared" si="12"/>
        <v>7</v>
      </c>
      <c r="Z130" t="s">
        <v>222</v>
      </c>
      <c r="AA130" t="s">
        <v>222</v>
      </c>
      <c r="AB130">
        <v>1</v>
      </c>
      <c r="AC130" t="s">
        <v>118</v>
      </c>
      <c r="AD130" t="s">
        <v>118</v>
      </c>
      <c r="AE130" t="s">
        <v>242</v>
      </c>
      <c r="AF130" t="s">
        <v>121</v>
      </c>
      <c r="AG130" s="20">
        <v>15</v>
      </c>
      <c r="AH130" s="20">
        <v>9</v>
      </c>
      <c r="AI130" s="20">
        <v>16</v>
      </c>
      <c r="AJ130" s="22">
        <v>35</v>
      </c>
      <c r="AK130" s="22">
        <v>0</v>
      </c>
      <c r="AL130" s="22">
        <v>35</v>
      </c>
      <c r="AM130" s="77">
        <f t="shared" si="7"/>
        <v>0</v>
      </c>
      <c r="AN130" s="22" t="s">
        <v>245</v>
      </c>
      <c r="AO130" s="58">
        <v>0</v>
      </c>
      <c r="AP130" s="22" t="s">
        <v>233</v>
      </c>
      <c r="AQ130" s="22" t="s">
        <v>669</v>
      </c>
      <c r="AT130" s="22" t="s">
        <v>118</v>
      </c>
      <c r="AU130" t="s">
        <v>117</v>
      </c>
      <c r="AV130" t="s">
        <v>334</v>
      </c>
      <c r="AW130" t="s">
        <v>182</v>
      </c>
      <c r="AX130" t="s">
        <v>182</v>
      </c>
      <c r="AY130" t="s">
        <v>182</v>
      </c>
      <c r="AZ130" s="28"/>
      <c r="BA130" s="28"/>
    </row>
    <row r="131" spans="1:53" x14ac:dyDescent="0.6">
      <c r="A131" s="14" t="str">
        <f t="shared" ref="A131:A194" si="15">IF(T131=7, "Y", "N")</f>
        <v>Y</v>
      </c>
      <c r="B131" s="14" t="str">
        <f t="shared" ref="B131:B194" si="16">IF(Y131=7, "Y", "N")</f>
        <v>Y</v>
      </c>
      <c r="C131" t="s">
        <v>141</v>
      </c>
      <c r="D131" t="s">
        <v>63</v>
      </c>
      <c r="E131" t="s">
        <v>63</v>
      </c>
      <c r="F131" t="str">
        <f t="shared" ref="F131:F156" si="17">D131&amp;"_"&amp;E131</f>
        <v>N_N</v>
      </c>
      <c r="G131" s="22">
        <v>71</v>
      </c>
      <c r="H131" t="s">
        <v>250</v>
      </c>
      <c r="I131" s="5">
        <v>44329</v>
      </c>
      <c r="J131" s="7">
        <v>0.46527777777777773</v>
      </c>
      <c r="K131" s="20">
        <v>11</v>
      </c>
      <c r="L131" s="20">
        <v>11</v>
      </c>
      <c r="M131" s="20">
        <v>19</v>
      </c>
      <c r="N131" t="s">
        <v>71</v>
      </c>
      <c r="O131" t="s">
        <v>256</v>
      </c>
      <c r="P131" s="22">
        <v>45</v>
      </c>
      <c r="Q131" t="s">
        <v>106</v>
      </c>
      <c r="R131" t="s">
        <v>129</v>
      </c>
      <c r="S131" s="56" t="s">
        <v>129</v>
      </c>
      <c r="T131">
        <f t="shared" ref="T131:T194" si="18">DATEDIF(I131,U131,"d")</f>
        <v>7</v>
      </c>
      <c r="U131" s="5">
        <v>44336</v>
      </c>
      <c r="V131" s="7">
        <v>0.46527777777777773</v>
      </c>
      <c r="W131" s="5">
        <v>44343</v>
      </c>
      <c r="X131" s="7">
        <v>0.43055555555555558</v>
      </c>
      <c r="Y131" s="22">
        <f t="shared" ref="Y131:Y194" si="19">DATEDIF(U131,W131,"d")</f>
        <v>7</v>
      </c>
      <c r="Z131" t="s">
        <v>222</v>
      </c>
      <c r="AA131" t="s">
        <v>222</v>
      </c>
      <c r="AB131">
        <v>2</v>
      </c>
      <c r="AC131" t="s">
        <v>117</v>
      </c>
      <c r="AD131" t="s">
        <v>117</v>
      </c>
      <c r="AE131" t="s">
        <v>244</v>
      </c>
      <c r="AF131" t="s">
        <v>120</v>
      </c>
      <c r="AG131" s="20">
        <v>12</v>
      </c>
      <c r="AH131" s="20">
        <v>11</v>
      </c>
      <c r="AI131" s="20">
        <v>11</v>
      </c>
      <c r="AJ131" s="22">
        <v>75</v>
      </c>
      <c r="AK131" s="22">
        <v>0</v>
      </c>
      <c r="AL131" s="22">
        <v>75</v>
      </c>
      <c r="AM131" s="77">
        <f t="shared" si="7"/>
        <v>0</v>
      </c>
      <c r="AN131" s="22" t="s">
        <v>245</v>
      </c>
      <c r="AO131" s="58">
        <v>0</v>
      </c>
      <c r="AP131" t="s">
        <v>233</v>
      </c>
      <c r="AQ131" s="22" t="s">
        <v>669</v>
      </c>
      <c r="AT131" t="s">
        <v>118</v>
      </c>
      <c r="AU131" t="s">
        <v>117</v>
      </c>
      <c r="AV131" t="s">
        <v>334</v>
      </c>
      <c r="AW131" t="s">
        <v>182</v>
      </c>
      <c r="AX131" t="s">
        <v>182</v>
      </c>
      <c r="AY131" t="s">
        <v>182</v>
      </c>
      <c r="AZ131" s="28"/>
      <c r="BA131" s="28"/>
    </row>
    <row r="132" spans="1:53" x14ac:dyDescent="0.6">
      <c r="A132" s="14" t="str">
        <f t="shared" si="15"/>
        <v>Y</v>
      </c>
      <c r="B132" s="14" t="str">
        <f t="shared" si="16"/>
        <v>Y</v>
      </c>
      <c r="C132" t="s">
        <v>141</v>
      </c>
      <c r="D132" t="s">
        <v>63</v>
      </c>
      <c r="E132" t="s">
        <v>63</v>
      </c>
      <c r="F132" t="str">
        <f t="shared" si="17"/>
        <v>N_N</v>
      </c>
      <c r="G132" s="22">
        <v>72</v>
      </c>
      <c r="H132" t="s">
        <v>51</v>
      </c>
      <c r="I132" s="5">
        <v>44329</v>
      </c>
      <c r="J132" s="7">
        <v>0.46527777777777773</v>
      </c>
      <c r="K132" s="20">
        <v>10</v>
      </c>
      <c r="L132" s="20">
        <v>9.5</v>
      </c>
      <c r="M132" s="20">
        <v>14</v>
      </c>
      <c r="N132" t="s">
        <v>108</v>
      </c>
      <c r="O132" t="s">
        <v>167</v>
      </c>
      <c r="P132" s="22">
        <v>33</v>
      </c>
      <c r="Q132" t="s">
        <v>56</v>
      </c>
      <c r="R132" t="s">
        <v>330</v>
      </c>
      <c r="S132" t="s">
        <v>63</v>
      </c>
      <c r="T132">
        <f t="shared" si="18"/>
        <v>7</v>
      </c>
      <c r="U132" s="5">
        <v>44336</v>
      </c>
      <c r="V132" s="7">
        <v>0.47500000000000003</v>
      </c>
      <c r="W132" s="5">
        <v>44343</v>
      </c>
      <c r="X132" s="7">
        <v>0.42708333333333331</v>
      </c>
      <c r="Y132" s="22">
        <f t="shared" si="19"/>
        <v>7</v>
      </c>
      <c r="Z132" t="s">
        <v>218</v>
      </c>
      <c r="AA132" t="s">
        <v>218</v>
      </c>
      <c r="AB132">
        <v>1</v>
      </c>
      <c r="AC132" t="s">
        <v>66</v>
      </c>
      <c r="AD132" t="s">
        <v>351</v>
      </c>
      <c r="AE132" t="s">
        <v>244</v>
      </c>
      <c r="AF132" t="s">
        <v>67</v>
      </c>
      <c r="AG132" s="20">
        <v>6.5</v>
      </c>
      <c r="AH132" s="20">
        <v>4</v>
      </c>
      <c r="AI132" s="20">
        <v>3</v>
      </c>
      <c r="AJ132" s="22">
        <v>85</v>
      </c>
      <c r="AK132" s="22">
        <v>0</v>
      </c>
      <c r="AL132" s="22">
        <v>0</v>
      </c>
      <c r="AM132" s="77">
        <f t="shared" si="7"/>
        <v>1</v>
      </c>
      <c r="AN132" s="22" t="s">
        <v>246</v>
      </c>
      <c r="AO132" s="58">
        <v>2</v>
      </c>
      <c r="AP132" s="22" t="s">
        <v>234</v>
      </c>
      <c r="AQ132" s="22" t="s">
        <v>667</v>
      </c>
      <c r="AR132" t="s">
        <v>66</v>
      </c>
      <c r="AT132" s="22" t="s">
        <v>119</v>
      </c>
      <c r="AV132" t="s">
        <v>335</v>
      </c>
      <c r="AW132" t="s">
        <v>182</v>
      </c>
      <c r="AX132" t="s">
        <v>182</v>
      </c>
      <c r="AY132" t="s">
        <v>182</v>
      </c>
      <c r="AZ132" s="28"/>
      <c r="BA132" s="28"/>
    </row>
    <row r="133" spans="1:53" x14ac:dyDescent="0.6">
      <c r="A133" s="14" t="str">
        <f t="shared" si="15"/>
        <v>Y</v>
      </c>
      <c r="B133" s="14" t="str">
        <f t="shared" si="16"/>
        <v>Y</v>
      </c>
      <c r="C133" t="s">
        <v>141</v>
      </c>
      <c r="D133" t="s">
        <v>63</v>
      </c>
      <c r="E133" t="s">
        <v>63</v>
      </c>
      <c r="F133" t="str">
        <f t="shared" si="17"/>
        <v>N_N</v>
      </c>
      <c r="G133" s="22">
        <v>72</v>
      </c>
      <c r="H133" t="s">
        <v>51</v>
      </c>
      <c r="I133" s="5">
        <v>44329</v>
      </c>
      <c r="J133" s="7">
        <v>0.46527777777777773</v>
      </c>
      <c r="K133" s="20">
        <v>10</v>
      </c>
      <c r="L133" s="20">
        <v>9.5</v>
      </c>
      <c r="M133" s="20">
        <v>14</v>
      </c>
      <c r="N133" t="s">
        <v>108</v>
      </c>
      <c r="O133" t="s">
        <v>167</v>
      </c>
      <c r="P133" s="22">
        <v>33</v>
      </c>
      <c r="Q133" t="s">
        <v>56</v>
      </c>
      <c r="R133" t="s">
        <v>330</v>
      </c>
      <c r="S133" t="s">
        <v>63</v>
      </c>
      <c r="T133">
        <f t="shared" si="18"/>
        <v>7</v>
      </c>
      <c r="U133" s="5">
        <v>44336</v>
      </c>
      <c r="V133" s="7">
        <v>0.47500000000000003</v>
      </c>
      <c r="W133" s="5">
        <v>44343</v>
      </c>
      <c r="X133" s="7">
        <v>0.42708333333333331</v>
      </c>
      <c r="Y133" s="22">
        <f t="shared" si="19"/>
        <v>7</v>
      </c>
      <c r="Z133" t="s">
        <v>218</v>
      </c>
      <c r="AA133" t="s">
        <v>218</v>
      </c>
      <c r="AB133">
        <v>2</v>
      </c>
      <c r="AC133" t="s">
        <v>119</v>
      </c>
      <c r="AD133" t="s">
        <v>119</v>
      </c>
      <c r="AE133" t="s">
        <v>242</v>
      </c>
      <c r="AF133" t="s">
        <v>120</v>
      </c>
      <c r="AG133" s="20">
        <v>8.5</v>
      </c>
      <c r="AH133" s="20">
        <v>4.5</v>
      </c>
      <c r="AI133" s="20">
        <v>3.5</v>
      </c>
      <c r="AJ133" s="22">
        <v>50</v>
      </c>
      <c r="AK133" s="22">
        <v>0</v>
      </c>
      <c r="AL133" s="22">
        <v>50</v>
      </c>
      <c r="AM133" s="77">
        <f t="shared" si="7"/>
        <v>0</v>
      </c>
      <c r="AN133" s="22" t="s">
        <v>245</v>
      </c>
      <c r="AO133" s="58">
        <v>0</v>
      </c>
      <c r="AP133" t="s">
        <v>233</v>
      </c>
      <c r="AQ133" s="22" t="s">
        <v>667</v>
      </c>
      <c r="AR133" t="s">
        <v>66</v>
      </c>
      <c r="AT133" t="s">
        <v>119</v>
      </c>
      <c r="AV133" t="s">
        <v>335</v>
      </c>
      <c r="AW133" t="s">
        <v>182</v>
      </c>
      <c r="AX133" t="s">
        <v>182</v>
      </c>
      <c r="AY133" t="s">
        <v>182</v>
      </c>
      <c r="AZ133" s="28"/>
      <c r="BA133" s="28"/>
    </row>
    <row r="134" spans="1:53" x14ac:dyDescent="0.6">
      <c r="A134" s="14" t="str">
        <f t="shared" si="15"/>
        <v>Y</v>
      </c>
      <c r="B134" s="14" t="str">
        <f t="shared" si="16"/>
        <v>Y</v>
      </c>
      <c r="C134" t="s">
        <v>141</v>
      </c>
      <c r="D134" t="s">
        <v>141</v>
      </c>
      <c r="E134" t="s">
        <v>63</v>
      </c>
      <c r="F134" t="str">
        <f t="shared" si="17"/>
        <v>Y_N</v>
      </c>
      <c r="G134" s="22">
        <v>73</v>
      </c>
      <c r="H134" t="s">
        <v>50</v>
      </c>
      <c r="I134" s="5">
        <v>44329</v>
      </c>
      <c r="J134" s="7">
        <v>0.46527777777777773</v>
      </c>
      <c r="K134" s="20">
        <v>10</v>
      </c>
      <c r="L134" s="20">
        <v>10.5</v>
      </c>
      <c r="M134" s="20">
        <v>15</v>
      </c>
      <c r="N134" t="s">
        <v>54</v>
      </c>
      <c r="O134" t="s">
        <v>329</v>
      </c>
      <c r="P134" s="22">
        <v>30</v>
      </c>
      <c r="Q134" t="s">
        <v>162</v>
      </c>
      <c r="R134" t="s">
        <v>331</v>
      </c>
      <c r="S134" t="s">
        <v>63</v>
      </c>
      <c r="T134">
        <f t="shared" si="18"/>
        <v>7</v>
      </c>
      <c r="U134" s="5">
        <v>44336</v>
      </c>
      <c r="V134" s="7">
        <v>0.48194444444444445</v>
      </c>
      <c r="W134" s="5">
        <v>44343</v>
      </c>
      <c r="X134" s="7">
        <v>0.43888888888888888</v>
      </c>
      <c r="Y134" s="22">
        <f t="shared" si="19"/>
        <v>7</v>
      </c>
      <c r="Z134" t="s">
        <v>223</v>
      </c>
      <c r="AA134" t="s">
        <v>223</v>
      </c>
      <c r="AB134">
        <v>1</v>
      </c>
      <c r="AC134" t="s">
        <v>46</v>
      </c>
      <c r="AD134" t="s">
        <v>352</v>
      </c>
      <c r="AE134" t="s">
        <v>242</v>
      </c>
      <c r="AF134" t="s">
        <v>47</v>
      </c>
      <c r="AG134" s="20">
        <v>15</v>
      </c>
      <c r="AH134" s="20">
        <v>13</v>
      </c>
      <c r="AI134" s="20">
        <v>12</v>
      </c>
      <c r="AJ134" s="22">
        <v>65</v>
      </c>
      <c r="AK134" s="22">
        <v>0</v>
      </c>
      <c r="AL134" s="22">
        <v>65</v>
      </c>
      <c r="AM134" s="77">
        <f t="shared" si="7"/>
        <v>0</v>
      </c>
      <c r="AN134" s="22" t="s">
        <v>245</v>
      </c>
      <c r="AO134" s="58">
        <v>0</v>
      </c>
      <c r="AP134" s="22" t="s">
        <v>233</v>
      </c>
      <c r="AQ134" s="22" t="s">
        <v>669</v>
      </c>
      <c r="AT134" s="22" t="s">
        <v>46</v>
      </c>
      <c r="AU134" t="s">
        <v>117</v>
      </c>
      <c r="AV134" t="s">
        <v>334</v>
      </c>
      <c r="AW134" t="s">
        <v>182</v>
      </c>
      <c r="AX134" t="s">
        <v>182</v>
      </c>
      <c r="AY134" t="s">
        <v>182</v>
      </c>
      <c r="AZ134" s="28"/>
      <c r="BA134" s="28"/>
    </row>
    <row r="135" spans="1:53" x14ac:dyDescent="0.6">
      <c r="A135" s="14" t="str">
        <f t="shared" si="15"/>
        <v>Y</v>
      </c>
      <c r="B135" s="14" t="str">
        <f t="shared" si="16"/>
        <v>Y</v>
      </c>
      <c r="C135" t="s">
        <v>141</v>
      </c>
      <c r="D135" t="s">
        <v>141</v>
      </c>
      <c r="E135" t="s">
        <v>63</v>
      </c>
      <c r="F135" t="str">
        <f t="shared" si="17"/>
        <v>Y_N</v>
      </c>
      <c r="G135" s="22">
        <v>73</v>
      </c>
      <c r="H135" t="s">
        <v>50</v>
      </c>
      <c r="I135" s="5">
        <v>44329</v>
      </c>
      <c r="J135" s="7">
        <v>0.46527777777777773</v>
      </c>
      <c r="K135" s="20">
        <v>10</v>
      </c>
      <c r="L135" s="20">
        <v>10.5</v>
      </c>
      <c r="M135" s="20">
        <v>15</v>
      </c>
      <c r="N135" t="s">
        <v>54</v>
      </c>
      <c r="O135" t="s">
        <v>329</v>
      </c>
      <c r="P135" s="22">
        <v>30</v>
      </c>
      <c r="Q135" t="s">
        <v>162</v>
      </c>
      <c r="R135" t="s">
        <v>331</v>
      </c>
      <c r="S135" t="s">
        <v>63</v>
      </c>
      <c r="T135">
        <f t="shared" si="18"/>
        <v>7</v>
      </c>
      <c r="U135" s="5">
        <v>44336</v>
      </c>
      <c r="V135" s="7">
        <v>0.48194444444444445</v>
      </c>
      <c r="W135" s="5">
        <v>44343</v>
      </c>
      <c r="X135" s="7">
        <v>0.43888888888888888</v>
      </c>
      <c r="Y135" s="22">
        <f t="shared" si="19"/>
        <v>7</v>
      </c>
      <c r="Z135" t="s">
        <v>223</v>
      </c>
      <c r="AA135" t="s">
        <v>223</v>
      </c>
      <c r="AB135">
        <v>2</v>
      </c>
      <c r="AC135" t="s">
        <v>117</v>
      </c>
      <c r="AD135" t="s">
        <v>117</v>
      </c>
      <c r="AE135" t="s">
        <v>244</v>
      </c>
      <c r="AF135" t="s">
        <v>120</v>
      </c>
      <c r="AG135" s="20">
        <v>15.5</v>
      </c>
      <c r="AH135" s="20">
        <v>10.5</v>
      </c>
      <c r="AI135" s="20">
        <v>7</v>
      </c>
      <c r="AJ135" s="22">
        <v>50</v>
      </c>
      <c r="AK135" s="22">
        <v>0</v>
      </c>
      <c r="AL135" s="22">
        <v>50</v>
      </c>
      <c r="AM135" s="77">
        <f t="shared" si="7"/>
        <v>0</v>
      </c>
      <c r="AN135" s="22" t="s">
        <v>245</v>
      </c>
      <c r="AO135" s="58">
        <v>0</v>
      </c>
      <c r="AP135" t="s">
        <v>233</v>
      </c>
      <c r="AQ135" s="22" t="s">
        <v>669</v>
      </c>
      <c r="AT135" s="22" t="s">
        <v>46</v>
      </c>
      <c r="AU135" t="s">
        <v>117</v>
      </c>
      <c r="AV135" t="s">
        <v>334</v>
      </c>
      <c r="AW135" t="s">
        <v>182</v>
      </c>
      <c r="AX135" t="s">
        <v>182</v>
      </c>
      <c r="AY135" t="s">
        <v>182</v>
      </c>
      <c r="AZ135" s="28"/>
      <c r="BA135" s="28"/>
    </row>
    <row r="136" spans="1:53" x14ac:dyDescent="0.6">
      <c r="A136" s="14" t="str">
        <f t="shared" si="15"/>
        <v>Y</v>
      </c>
      <c r="B136" s="14" t="str">
        <f t="shared" si="16"/>
        <v>Y</v>
      </c>
      <c r="C136" t="s">
        <v>141</v>
      </c>
      <c r="D136" t="s">
        <v>141</v>
      </c>
      <c r="E136" t="s">
        <v>63</v>
      </c>
      <c r="F136" t="str">
        <f t="shared" si="17"/>
        <v>Y_N</v>
      </c>
      <c r="G136" s="22">
        <v>74</v>
      </c>
      <c r="H136" t="s">
        <v>49</v>
      </c>
      <c r="I136" s="5">
        <v>44329</v>
      </c>
      <c r="J136" s="7">
        <v>0.46527777777777773</v>
      </c>
      <c r="K136" s="20">
        <v>9.5</v>
      </c>
      <c r="L136" s="20">
        <v>10</v>
      </c>
      <c r="M136" s="20">
        <v>14</v>
      </c>
      <c r="N136" t="s">
        <v>54</v>
      </c>
      <c r="O136" t="s">
        <v>329</v>
      </c>
      <c r="P136" s="22">
        <v>30</v>
      </c>
      <c r="Q136" t="s">
        <v>42</v>
      </c>
      <c r="R136" t="s">
        <v>332</v>
      </c>
      <c r="S136" t="s">
        <v>63</v>
      </c>
      <c r="T136">
        <f t="shared" si="18"/>
        <v>7</v>
      </c>
      <c r="U136" s="5">
        <v>44336</v>
      </c>
      <c r="V136" s="7">
        <v>0.49236111111111108</v>
      </c>
      <c r="W136" s="5">
        <v>44343</v>
      </c>
      <c r="X136" s="7">
        <v>0.44236111111111115</v>
      </c>
      <c r="Y136" s="22">
        <f t="shared" si="19"/>
        <v>7</v>
      </c>
      <c r="Z136" t="s">
        <v>218</v>
      </c>
      <c r="AA136" t="s">
        <v>218</v>
      </c>
      <c r="AB136">
        <v>1</v>
      </c>
      <c r="AC136" t="s">
        <v>66</v>
      </c>
      <c r="AD136" t="s">
        <v>351</v>
      </c>
      <c r="AE136" t="s">
        <v>242</v>
      </c>
      <c r="AF136" t="s">
        <v>67</v>
      </c>
      <c r="AG136" s="20">
        <v>10.5</v>
      </c>
      <c r="AH136" s="20">
        <v>6.5</v>
      </c>
      <c r="AI136" s="20">
        <v>9.5</v>
      </c>
      <c r="AJ136" s="22">
        <v>60</v>
      </c>
      <c r="AK136" s="22">
        <v>0</v>
      </c>
      <c r="AL136" s="22">
        <v>0</v>
      </c>
      <c r="AM136" s="77">
        <f t="shared" si="7"/>
        <v>1</v>
      </c>
      <c r="AN136" s="22" t="s">
        <v>246</v>
      </c>
      <c r="AO136" s="58">
        <v>2</v>
      </c>
      <c r="AP136" s="22" t="s">
        <v>234</v>
      </c>
      <c r="AQ136" s="22" t="s">
        <v>667</v>
      </c>
      <c r="AR136" t="s">
        <v>66</v>
      </c>
      <c r="AT136" s="22" t="s">
        <v>119</v>
      </c>
      <c r="AV136" t="s">
        <v>325</v>
      </c>
      <c r="AW136" t="s">
        <v>323</v>
      </c>
      <c r="AX136">
        <v>1</v>
      </c>
      <c r="AY136" s="29" t="s">
        <v>336</v>
      </c>
      <c r="AZ136" s="36"/>
      <c r="BA136" s="36"/>
    </row>
    <row r="137" spans="1:53" x14ac:dyDescent="0.6">
      <c r="A137" s="14" t="str">
        <f t="shared" si="15"/>
        <v>Y</v>
      </c>
      <c r="B137" s="14" t="str">
        <f t="shared" si="16"/>
        <v>Y</v>
      </c>
      <c r="C137" t="s">
        <v>141</v>
      </c>
      <c r="D137" t="s">
        <v>141</v>
      </c>
      <c r="E137" t="s">
        <v>63</v>
      </c>
      <c r="F137" t="str">
        <f t="shared" si="17"/>
        <v>Y_N</v>
      </c>
      <c r="G137" s="22">
        <v>74</v>
      </c>
      <c r="H137" t="s">
        <v>49</v>
      </c>
      <c r="I137" s="5">
        <v>44329</v>
      </c>
      <c r="J137" s="7">
        <v>0.46527777777777773</v>
      </c>
      <c r="K137" s="20">
        <v>9.5</v>
      </c>
      <c r="L137" s="20">
        <v>10</v>
      </c>
      <c r="M137" s="20">
        <v>14</v>
      </c>
      <c r="N137" t="s">
        <v>54</v>
      </c>
      <c r="O137" t="s">
        <v>329</v>
      </c>
      <c r="P137" s="22">
        <v>30</v>
      </c>
      <c r="Q137" t="s">
        <v>42</v>
      </c>
      <c r="R137" t="s">
        <v>332</v>
      </c>
      <c r="S137" t="s">
        <v>63</v>
      </c>
      <c r="T137">
        <f t="shared" si="18"/>
        <v>7</v>
      </c>
      <c r="U137" s="5">
        <v>44336</v>
      </c>
      <c r="V137" s="7">
        <v>0.49236111111111108</v>
      </c>
      <c r="W137" s="5">
        <v>44343</v>
      </c>
      <c r="X137" s="7">
        <v>0.44236111111111115</v>
      </c>
      <c r="Y137" s="22">
        <f t="shared" si="19"/>
        <v>7</v>
      </c>
      <c r="Z137" t="s">
        <v>218</v>
      </c>
      <c r="AA137" t="s">
        <v>218</v>
      </c>
      <c r="AB137">
        <v>2</v>
      </c>
      <c r="AC137" t="s">
        <v>119</v>
      </c>
      <c r="AD137" t="s">
        <v>119</v>
      </c>
      <c r="AE137" t="s">
        <v>244</v>
      </c>
      <c r="AF137" t="s">
        <v>120</v>
      </c>
      <c r="AG137" s="20">
        <v>10.5</v>
      </c>
      <c r="AH137" s="20">
        <v>10</v>
      </c>
      <c r="AI137" s="20">
        <v>6</v>
      </c>
      <c r="AJ137" s="22">
        <v>40</v>
      </c>
      <c r="AK137" s="22">
        <v>0</v>
      </c>
      <c r="AL137" s="22">
        <v>40</v>
      </c>
      <c r="AM137" s="77">
        <f t="shared" si="7"/>
        <v>0</v>
      </c>
      <c r="AN137" s="22" t="s">
        <v>245</v>
      </c>
      <c r="AO137" s="58">
        <v>0</v>
      </c>
      <c r="AP137" t="s">
        <v>233</v>
      </c>
      <c r="AQ137" s="22" t="s">
        <v>667</v>
      </c>
      <c r="AR137" t="s">
        <v>66</v>
      </c>
      <c r="AT137" s="22" t="s">
        <v>119</v>
      </c>
      <c r="AV137" t="s">
        <v>325</v>
      </c>
      <c r="AW137" t="s">
        <v>182</v>
      </c>
      <c r="AX137" t="s">
        <v>182</v>
      </c>
      <c r="AY137" t="s">
        <v>182</v>
      </c>
      <c r="AZ137" s="28"/>
      <c r="BA137" s="28"/>
    </row>
    <row r="138" spans="1:53" x14ac:dyDescent="0.6">
      <c r="A138" s="14" t="str">
        <f t="shared" si="15"/>
        <v>Y</v>
      </c>
      <c r="B138" s="14" t="str">
        <f t="shared" si="16"/>
        <v>Y</v>
      </c>
      <c r="C138" t="s">
        <v>141</v>
      </c>
      <c r="D138" t="s">
        <v>141</v>
      </c>
      <c r="E138" t="s">
        <v>63</v>
      </c>
      <c r="F138" t="str">
        <f t="shared" si="17"/>
        <v>Y_N</v>
      </c>
      <c r="G138" s="22">
        <v>75</v>
      </c>
      <c r="H138" t="s">
        <v>260</v>
      </c>
      <c r="I138" s="5">
        <v>44329</v>
      </c>
      <c r="J138" s="7">
        <v>0.46527777777777773</v>
      </c>
      <c r="K138" s="20">
        <v>12</v>
      </c>
      <c r="L138" s="20">
        <v>12</v>
      </c>
      <c r="M138" s="20">
        <v>19</v>
      </c>
      <c r="N138" t="s">
        <v>108</v>
      </c>
      <c r="O138" t="s">
        <v>167</v>
      </c>
      <c r="P138" s="22">
        <v>33</v>
      </c>
      <c r="Q138" t="s">
        <v>79</v>
      </c>
      <c r="R138" t="s">
        <v>333</v>
      </c>
      <c r="S138" t="s">
        <v>63</v>
      </c>
      <c r="T138">
        <f t="shared" si="18"/>
        <v>7</v>
      </c>
      <c r="U138" s="5">
        <v>44336</v>
      </c>
      <c r="V138" s="7">
        <v>0.5</v>
      </c>
      <c r="W138" s="5">
        <v>44343</v>
      </c>
      <c r="X138" s="7">
        <v>0.42638888888888887</v>
      </c>
      <c r="Y138" s="22">
        <f t="shared" si="19"/>
        <v>7</v>
      </c>
      <c r="Z138" t="s">
        <v>216</v>
      </c>
      <c r="AA138" t="s">
        <v>216</v>
      </c>
      <c r="AB138">
        <v>1</v>
      </c>
      <c r="AC138" t="s">
        <v>132</v>
      </c>
      <c r="AD138" t="s">
        <v>351</v>
      </c>
      <c r="AE138" t="s">
        <v>242</v>
      </c>
      <c r="AF138" t="s">
        <v>67</v>
      </c>
      <c r="AG138" s="20">
        <v>11.5</v>
      </c>
      <c r="AH138" s="20">
        <v>10</v>
      </c>
      <c r="AI138" s="20">
        <v>27</v>
      </c>
      <c r="AJ138" s="22">
        <v>50</v>
      </c>
      <c r="AK138" s="22">
        <v>0</v>
      </c>
      <c r="AL138" s="22">
        <v>50</v>
      </c>
      <c r="AM138" s="77">
        <f t="shared" si="7"/>
        <v>0</v>
      </c>
      <c r="AN138" s="22" t="s">
        <v>245</v>
      </c>
      <c r="AO138" s="58">
        <v>0</v>
      </c>
      <c r="AP138" s="22" t="s">
        <v>233</v>
      </c>
      <c r="AQ138" s="22" t="s">
        <v>667</v>
      </c>
      <c r="AR138" t="s">
        <v>117</v>
      </c>
      <c r="AT138" s="22" t="s">
        <v>132</v>
      </c>
      <c r="AV138" t="s">
        <v>325</v>
      </c>
      <c r="AW138" t="s">
        <v>182</v>
      </c>
      <c r="AX138" t="s">
        <v>182</v>
      </c>
      <c r="AZ138" s="28"/>
      <c r="BA138" s="28"/>
    </row>
    <row r="139" spans="1:53" x14ac:dyDescent="0.6">
      <c r="A139" s="14" t="str">
        <f t="shared" si="15"/>
        <v>Y</v>
      </c>
      <c r="B139" s="14" t="str">
        <f t="shared" si="16"/>
        <v>Y</v>
      </c>
      <c r="C139" t="s">
        <v>141</v>
      </c>
      <c r="D139" t="s">
        <v>141</v>
      </c>
      <c r="E139" t="s">
        <v>63</v>
      </c>
      <c r="F139" t="str">
        <f t="shared" si="17"/>
        <v>Y_N</v>
      </c>
      <c r="G139" s="22">
        <v>75</v>
      </c>
      <c r="H139" t="s">
        <v>260</v>
      </c>
      <c r="I139" s="5">
        <v>44329</v>
      </c>
      <c r="J139" s="7">
        <v>0.46527777777777773</v>
      </c>
      <c r="K139" s="20">
        <v>12</v>
      </c>
      <c r="L139" s="20">
        <v>12</v>
      </c>
      <c r="M139" s="20">
        <v>19</v>
      </c>
      <c r="N139" t="s">
        <v>108</v>
      </c>
      <c r="O139" t="s">
        <v>167</v>
      </c>
      <c r="P139" s="22">
        <v>33</v>
      </c>
      <c r="Q139" t="s">
        <v>79</v>
      </c>
      <c r="R139" t="s">
        <v>333</v>
      </c>
      <c r="S139" t="s">
        <v>63</v>
      </c>
      <c r="T139">
        <f t="shared" si="18"/>
        <v>7</v>
      </c>
      <c r="U139" s="5">
        <v>44336</v>
      </c>
      <c r="V139" s="7">
        <v>0.5</v>
      </c>
      <c r="W139" s="5">
        <v>44343</v>
      </c>
      <c r="X139" s="7">
        <v>0.42638888888888887</v>
      </c>
      <c r="Y139" s="22">
        <f t="shared" si="19"/>
        <v>7</v>
      </c>
      <c r="Z139" t="s">
        <v>216</v>
      </c>
      <c r="AA139" t="s">
        <v>216</v>
      </c>
      <c r="AB139">
        <v>2</v>
      </c>
      <c r="AC139" t="s">
        <v>117</v>
      </c>
      <c r="AD139" t="s">
        <v>117</v>
      </c>
      <c r="AE139" t="s">
        <v>244</v>
      </c>
      <c r="AF139" t="s">
        <v>120</v>
      </c>
      <c r="AG139" s="20">
        <v>17</v>
      </c>
      <c r="AH139" s="20">
        <v>15</v>
      </c>
      <c r="AI139" s="20">
        <v>14</v>
      </c>
      <c r="AJ139" s="22">
        <v>50</v>
      </c>
      <c r="AK139" s="22">
        <v>0</v>
      </c>
      <c r="AL139" s="22">
        <v>20</v>
      </c>
      <c r="AM139" s="77">
        <f t="shared" si="7"/>
        <v>0.6</v>
      </c>
      <c r="AN139" s="22" t="s">
        <v>246</v>
      </c>
      <c r="AO139" s="58">
        <v>2</v>
      </c>
      <c r="AP139" t="s">
        <v>234</v>
      </c>
      <c r="AQ139" s="22" t="s">
        <v>667</v>
      </c>
      <c r="AR139" t="s">
        <v>117</v>
      </c>
      <c r="AT139" s="22" t="s">
        <v>132</v>
      </c>
      <c r="AV139" t="s">
        <v>325</v>
      </c>
      <c r="AW139" t="s">
        <v>323</v>
      </c>
      <c r="AX139">
        <v>13</v>
      </c>
      <c r="AY139" s="29">
        <v>44342.25</v>
      </c>
      <c r="AZ139" s="36"/>
      <c r="BA139" s="36"/>
    </row>
    <row r="140" spans="1:53" x14ac:dyDescent="0.6">
      <c r="A140" s="14" t="str">
        <f t="shared" si="15"/>
        <v>Y</v>
      </c>
      <c r="B140" s="14" t="str">
        <f t="shared" si="16"/>
        <v>Y</v>
      </c>
      <c r="C140" t="s">
        <v>141</v>
      </c>
      <c r="D140" t="s">
        <v>141</v>
      </c>
      <c r="E140" t="s">
        <v>63</v>
      </c>
      <c r="F140" t="str">
        <f t="shared" si="17"/>
        <v>Y_N</v>
      </c>
      <c r="G140" s="22">
        <v>76</v>
      </c>
      <c r="H140" t="s">
        <v>250</v>
      </c>
      <c r="I140" s="5">
        <v>44364</v>
      </c>
      <c r="J140" s="7">
        <v>0.55208333333333337</v>
      </c>
      <c r="K140" s="20">
        <v>11</v>
      </c>
      <c r="L140" s="20">
        <v>11</v>
      </c>
      <c r="M140" s="20">
        <v>16</v>
      </c>
      <c r="N140" t="s">
        <v>88</v>
      </c>
      <c r="O140" t="s">
        <v>154</v>
      </c>
      <c r="P140" s="22">
        <v>28</v>
      </c>
      <c r="Q140" t="s">
        <v>340</v>
      </c>
      <c r="R140" t="s">
        <v>343</v>
      </c>
      <c r="S140" s="56" t="s">
        <v>343</v>
      </c>
      <c r="T140">
        <f t="shared" si="18"/>
        <v>7</v>
      </c>
      <c r="U140" s="5">
        <v>44371</v>
      </c>
      <c r="V140" s="7">
        <v>0.57986111111111105</v>
      </c>
      <c r="W140" s="5">
        <v>44378</v>
      </c>
      <c r="X140" s="7">
        <v>0.4513888888888889</v>
      </c>
      <c r="Y140" s="22">
        <f t="shared" si="19"/>
        <v>7</v>
      </c>
      <c r="Z140" t="s">
        <v>217</v>
      </c>
      <c r="AA140" t="s">
        <v>217</v>
      </c>
      <c r="AB140">
        <v>1</v>
      </c>
      <c r="AC140" t="s">
        <v>118</v>
      </c>
      <c r="AD140" t="s">
        <v>118</v>
      </c>
      <c r="AE140" t="s">
        <v>242</v>
      </c>
      <c r="AF140" t="s">
        <v>121</v>
      </c>
      <c r="AG140" s="20">
        <v>8.5</v>
      </c>
      <c r="AH140" s="20">
        <v>6</v>
      </c>
      <c r="AI140" s="20">
        <v>6</v>
      </c>
      <c r="AJ140" s="22">
        <v>40</v>
      </c>
      <c r="AK140" s="22">
        <v>0</v>
      </c>
      <c r="AL140" s="22">
        <v>40</v>
      </c>
      <c r="AM140" s="74">
        <f t="shared" si="7"/>
        <v>0</v>
      </c>
      <c r="AN140" s="22" t="s">
        <v>245</v>
      </c>
      <c r="AO140" s="58">
        <v>0</v>
      </c>
      <c r="AP140" t="s">
        <v>233</v>
      </c>
      <c r="AQ140" s="22" t="s">
        <v>667</v>
      </c>
      <c r="AR140" t="s">
        <v>66</v>
      </c>
      <c r="AT140" t="s">
        <v>118</v>
      </c>
      <c r="AV140" t="s">
        <v>325</v>
      </c>
      <c r="AW140" t="s">
        <v>182</v>
      </c>
      <c r="AX140" t="s">
        <v>182</v>
      </c>
      <c r="AY140" t="s">
        <v>182</v>
      </c>
      <c r="AZ140" s="28"/>
      <c r="BA140" s="28"/>
    </row>
    <row r="141" spans="1:53" ht="17.05" customHeight="1" x14ac:dyDescent="0.6">
      <c r="A141" s="14" t="str">
        <f t="shared" si="15"/>
        <v>Y</v>
      </c>
      <c r="B141" s="14" t="str">
        <f t="shared" si="16"/>
        <v>Y</v>
      </c>
      <c r="C141" t="s">
        <v>141</v>
      </c>
      <c r="D141" t="s">
        <v>141</v>
      </c>
      <c r="E141" t="s">
        <v>63</v>
      </c>
      <c r="F141" t="str">
        <f t="shared" si="17"/>
        <v>Y_N</v>
      </c>
      <c r="G141" s="22">
        <v>76</v>
      </c>
      <c r="H141" t="s">
        <v>250</v>
      </c>
      <c r="I141" s="5">
        <v>44364</v>
      </c>
      <c r="J141" s="7">
        <v>0.55208333333333337</v>
      </c>
      <c r="K141" s="20">
        <v>11</v>
      </c>
      <c r="L141" s="20">
        <v>11</v>
      </c>
      <c r="M141" s="20">
        <v>16</v>
      </c>
      <c r="N141" t="s">
        <v>88</v>
      </c>
      <c r="O141" t="s">
        <v>154</v>
      </c>
      <c r="P141" s="22">
        <v>28</v>
      </c>
      <c r="Q141" t="s">
        <v>340</v>
      </c>
      <c r="R141" t="s">
        <v>343</v>
      </c>
      <c r="S141" s="56" t="s">
        <v>343</v>
      </c>
      <c r="T141">
        <f t="shared" si="18"/>
        <v>7</v>
      </c>
      <c r="U141" s="5">
        <v>44371</v>
      </c>
      <c r="V141" s="7">
        <v>0.57986111111111105</v>
      </c>
      <c r="W141" s="5">
        <v>44378</v>
      </c>
      <c r="X141" s="7">
        <v>0.4513888888888889</v>
      </c>
      <c r="Y141" s="22">
        <f t="shared" si="19"/>
        <v>7</v>
      </c>
      <c r="Z141" t="s">
        <v>217</v>
      </c>
      <c r="AA141" t="s">
        <v>217</v>
      </c>
      <c r="AB141">
        <v>2</v>
      </c>
      <c r="AC141" t="s">
        <v>66</v>
      </c>
      <c r="AD141" t="s">
        <v>351</v>
      </c>
      <c r="AE141" t="s">
        <v>244</v>
      </c>
      <c r="AF141" t="s">
        <v>67</v>
      </c>
      <c r="AG141" s="20">
        <v>12</v>
      </c>
      <c r="AH141" s="20">
        <v>9.5</v>
      </c>
      <c r="AI141" s="20">
        <v>10.5</v>
      </c>
      <c r="AJ141" s="22">
        <v>25</v>
      </c>
      <c r="AK141" s="22">
        <v>0</v>
      </c>
      <c r="AL141" s="22">
        <v>0</v>
      </c>
      <c r="AM141" s="74">
        <f t="shared" si="7"/>
        <v>1</v>
      </c>
      <c r="AN141" s="22" t="s">
        <v>246</v>
      </c>
      <c r="AO141" s="58">
        <v>2</v>
      </c>
      <c r="AP141" t="s">
        <v>234</v>
      </c>
      <c r="AQ141" s="22" t="s">
        <v>667</v>
      </c>
      <c r="AR141" t="s">
        <v>66</v>
      </c>
      <c r="AT141" t="s">
        <v>118</v>
      </c>
      <c r="AV141" t="s">
        <v>325</v>
      </c>
      <c r="AW141" t="s">
        <v>320</v>
      </c>
      <c r="AX141" t="s">
        <v>182</v>
      </c>
      <c r="AY141" t="s">
        <v>182</v>
      </c>
      <c r="AZ141" s="28"/>
      <c r="BA141" s="28"/>
    </row>
    <row r="142" spans="1:53" x14ac:dyDescent="0.6">
      <c r="A142" s="14" t="str">
        <f t="shared" si="15"/>
        <v>Y</v>
      </c>
      <c r="B142" s="14" t="str">
        <f t="shared" si="16"/>
        <v>Y</v>
      </c>
      <c r="C142" t="s">
        <v>141</v>
      </c>
      <c r="D142" t="s">
        <v>63</v>
      </c>
      <c r="E142" t="s">
        <v>141</v>
      </c>
      <c r="F142" t="str">
        <f t="shared" si="17"/>
        <v>N_Y</v>
      </c>
      <c r="G142" s="22">
        <v>77</v>
      </c>
      <c r="H142" t="s">
        <v>51</v>
      </c>
      <c r="I142" s="5">
        <v>44364</v>
      </c>
      <c r="J142" s="7">
        <v>0.55208333333333337</v>
      </c>
      <c r="K142" s="20">
        <v>11.5</v>
      </c>
      <c r="L142" s="20">
        <v>11.5</v>
      </c>
      <c r="M142" s="20">
        <v>18</v>
      </c>
      <c r="N142" t="s">
        <v>88</v>
      </c>
      <c r="O142" t="s">
        <v>154</v>
      </c>
      <c r="P142" s="22">
        <v>28</v>
      </c>
      <c r="Q142" t="s">
        <v>341</v>
      </c>
      <c r="R142" t="s">
        <v>344</v>
      </c>
      <c r="S142" t="s">
        <v>63</v>
      </c>
      <c r="T142">
        <f t="shared" si="18"/>
        <v>7</v>
      </c>
      <c r="U142" s="5">
        <v>44371</v>
      </c>
      <c r="V142" s="7">
        <v>0.58958333333333335</v>
      </c>
      <c r="W142" s="5">
        <v>44378</v>
      </c>
      <c r="X142" s="7">
        <v>0.45624999999999999</v>
      </c>
      <c r="Y142" s="22">
        <f t="shared" si="19"/>
        <v>7</v>
      </c>
      <c r="Z142" t="s">
        <v>217</v>
      </c>
      <c r="AA142" t="s">
        <v>217</v>
      </c>
      <c r="AB142">
        <v>1</v>
      </c>
      <c r="AC142" t="s">
        <v>118</v>
      </c>
      <c r="AD142" t="s">
        <v>118</v>
      </c>
      <c r="AE142" t="s">
        <v>244</v>
      </c>
      <c r="AF142" t="s">
        <v>121</v>
      </c>
      <c r="AG142" s="20">
        <v>5</v>
      </c>
      <c r="AH142" s="20">
        <v>2</v>
      </c>
      <c r="AI142" s="20">
        <v>4.5</v>
      </c>
      <c r="AJ142" s="22">
        <v>95</v>
      </c>
      <c r="AK142" s="22">
        <v>0</v>
      </c>
      <c r="AL142" s="22">
        <v>95</v>
      </c>
      <c r="AM142" s="74">
        <f t="shared" si="7"/>
        <v>0</v>
      </c>
      <c r="AN142" s="22" t="s">
        <v>245</v>
      </c>
      <c r="AO142" s="58">
        <v>0</v>
      </c>
      <c r="AP142" t="s">
        <v>233</v>
      </c>
      <c r="AQ142" s="22" t="s">
        <v>667</v>
      </c>
      <c r="AR142" t="s">
        <v>66</v>
      </c>
      <c r="AT142" t="s">
        <v>118</v>
      </c>
      <c r="AV142" t="s">
        <v>325</v>
      </c>
      <c r="AW142" t="s">
        <v>182</v>
      </c>
      <c r="AX142" t="s">
        <v>182</v>
      </c>
      <c r="AY142" t="s">
        <v>182</v>
      </c>
      <c r="AZ142" s="28"/>
      <c r="BA142" s="28"/>
    </row>
    <row r="143" spans="1:53" x14ac:dyDescent="0.6">
      <c r="A143" s="14" t="str">
        <f t="shared" si="15"/>
        <v>Y</v>
      </c>
      <c r="B143" s="14" t="str">
        <f t="shared" si="16"/>
        <v>Y</v>
      </c>
      <c r="C143" t="s">
        <v>141</v>
      </c>
      <c r="D143" t="s">
        <v>63</v>
      </c>
      <c r="E143" t="s">
        <v>141</v>
      </c>
      <c r="F143" t="str">
        <f t="shared" si="17"/>
        <v>N_Y</v>
      </c>
      <c r="G143" s="22">
        <v>77</v>
      </c>
      <c r="H143" t="s">
        <v>51</v>
      </c>
      <c r="I143" s="5">
        <v>44364</v>
      </c>
      <c r="J143" s="7">
        <v>0.55208333333333337</v>
      </c>
      <c r="K143" s="20">
        <v>11.5</v>
      </c>
      <c r="L143" s="20">
        <v>11.5</v>
      </c>
      <c r="M143" s="20">
        <v>18</v>
      </c>
      <c r="N143" t="s">
        <v>88</v>
      </c>
      <c r="O143" t="s">
        <v>154</v>
      </c>
      <c r="P143" s="22">
        <v>28</v>
      </c>
      <c r="Q143" t="s">
        <v>341</v>
      </c>
      <c r="R143" t="s">
        <v>344</v>
      </c>
      <c r="S143" t="s">
        <v>63</v>
      </c>
      <c r="T143">
        <f t="shared" si="18"/>
        <v>7</v>
      </c>
      <c r="U143" s="5">
        <v>44371</v>
      </c>
      <c r="V143" s="7">
        <v>0.58958333333333335</v>
      </c>
      <c r="W143" s="5">
        <v>44378</v>
      </c>
      <c r="X143" s="7">
        <v>0.45624999999999999</v>
      </c>
      <c r="Y143" s="22">
        <f t="shared" si="19"/>
        <v>7</v>
      </c>
      <c r="Z143" t="s">
        <v>217</v>
      </c>
      <c r="AA143" t="s">
        <v>217</v>
      </c>
      <c r="AB143">
        <v>2</v>
      </c>
      <c r="AC143" t="s">
        <v>66</v>
      </c>
      <c r="AD143" t="s">
        <v>351</v>
      </c>
      <c r="AE143" t="s">
        <v>242</v>
      </c>
      <c r="AF143" t="s">
        <v>67</v>
      </c>
      <c r="AG143" s="20">
        <v>7.5</v>
      </c>
      <c r="AH143" s="20">
        <v>4</v>
      </c>
      <c r="AI143" s="20">
        <v>8</v>
      </c>
      <c r="AJ143" s="22">
        <v>30</v>
      </c>
      <c r="AK143" s="22">
        <v>0</v>
      </c>
      <c r="AL143" s="22">
        <v>0</v>
      </c>
      <c r="AM143" s="74">
        <f t="shared" si="7"/>
        <v>1</v>
      </c>
      <c r="AN143" s="22" t="s">
        <v>246</v>
      </c>
      <c r="AO143" s="58">
        <v>2</v>
      </c>
      <c r="AP143" t="s">
        <v>234</v>
      </c>
      <c r="AQ143" s="22" t="s">
        <v>667</v>
      </c>
      <c r="AR143" t="s">
        <v>66</v>
      </c>
      <c r="AT143" t="s">
        <v>118</v>
      </c>
      <c r="AV143" t="s">
        <v>325</v>
      </c>
      <c r="AW143" t="s">
        <v>346</v>
      </c>
      <c r="AX143" t="s">
        <v>182</v>
      </c>
      <c r="AY143" t="s">
        <v>347</v>
      </c>
      <c r="AZ143" s="28"/>
      <c r="BA143" s="28"/>
    </row>
    <row r="144" spans="1:53" x14ac:dyDescent="0.6">
      <c r="A144" s="14" t="str">
        <f t="shared" si="15"/>
        <v>Y</v>
      </c>
      <c r="B144" s="14" t="str">
        <f t="shared" si="16"/>
        <v>Y</v>
      </c>
      <c r="C144" t="s">
        <v>141</v>
      </c>
      <c r="D144" t="s">
        <v>141</v>
      </c>
      <c r="E144" t="s">
        <v>63</v>
      </c>
      <c r="F144" t="str">
        <f t="shared" si="17"/>
        <v>Y_N</v>
      </c>
      <c r="G144" s="22">
        <v>78</v>
      </c>
      <c r="H144" t="s">
        <v>50</v>
      </c>
      <c r="I144" s="5">
        <v>44364</v>
      </c>
      <c r="J144" s="7">
        <v>0.55208333333333337</v>
      </c>
      <c r="K144" s="20">
        <v>11</v>
      </c>
      <c r="L144" s="20">
        <v>11</v>
      </c>
      <c r="M144" s="20">
        <v>17</v>
      </c>
      <c r="N144" t="s">
        <v>71</v>
      </c>
      <c r="O144" t="s">
        <v>136</v>
      </c>
      <c r="P144" s="22">
        <v>31</v>
      </c>
      <c r="Q144" t="s">
        <v>56</v>
      </c>
      <c r="R144" t="s">
        <v>345</v>
      </c>
      <c r="S144" t="s">
        <v>63</v>
      </c>
      <c r="T144">
        <f t="shared" si="18"/>
        <v>7</v>
      </c>
      <c r="U144" s="5">
        <v>44371</v>
      </c>
      <c r="V144" s="7">
        <v>0.59652777777777777</v>
      </c>
      <c r="W144" s="5">
        <v>44378</v>
      </c>
      <c r="X144" s="7">
        <v>0.4597222222222222</v>
      </c>
      <c r="Y144" s="22">
        <f t="shared" si="19"/>
        <v>7</v>
      </c>
      <c r="Z144" t="s">
        <v>217</v>
      </c>
      <c r="AA144" t="s">
        <v>217</v>
      </c>
      <c r="AB144">
        <v>1</v>
      </c>
      <c r="AC144" t="s">
        <v>118</v>
      </c>
      <c r="AD144" t="s">
        <v>118</v>
      </c>
      <c r="AE144" t="s">
        <v>244</v>
      </c>
      <c r="AF144" t="s">
        <v>121</v>
      </c>
      <c r="AG144" s="20">
        <v>8.5</v>
      </c>
      <c r="AH144" s="20">
        <v>5.5</v>
      </c>
      <c r="AI144" s="20">
        <v>9</v>
      </c>
      <c r="AJ144" s="22">
        <v>90</v>
      </c>
      <c r="AK144" s="22">
        <v>0</v>
      </c>
      <c r="AL144" s="22">
        <v>90</v>
      </c>
      <c r="AM144" s="74">
        <f t="shared" si="7"/>
        <v>0</v>
      </c>
      <c r="AN144" s="22" t="s">
        <v>245</v>
      </c>
      <c r="AO144" s="58">
        <v>0</v>
      </c>
      <c r="AP144" t="s">
        <v>233</v>
      </c>
      <c r="AQ144" s="22" t="s">
        <v>669</v>
      </c>
      <c r="AT144" t="s">
        <v>66</v>
      </c>
      <c r="AU144" t="s">
        <v>118</v>
      </c>
      <c r="AV144" t="s">
        <v>324</v>
      </c>
      <c r="AW144" t="s">
        <v>182</v>
      </c>
      <c r="AX144" t="s">
        <v>182</v>
      </c>
      <c r="AY144" t="s">
        <v>182</v>
      </c>
      <c r="AZ144" s="28"/>
      <c r="BA144" s="28"/>
    </row>
    <row r="145" spans="1:53" x14ac:dyDescent="0.6">
      <c r="A145" s="14" t="str">
        <f t="shared" si="15"/>
        <v>Y</v>
      </c>
      <c r="B145" s="14" t="str">
        <f t="shared" si="16"/>
        <v>Y</v>
      </c>
      <c r="C145" t="s">
        <v>141</v>
      </c>
      <c r="D145" t="s">
        <v>141</v>
      </c>
      <c r="E145" t="s">
        <v>63</v>
      </c>
      <c r="F145" t="str">
        <f t="shared" si="17"/>
        <v>Y_N</v>
      </c>
      <c r="G145" s="22">
        <v>78</v>
      </c>
      <c r="H145" t="s">
        <v>50</v>
      </c>
      <c r="I145" s="5">
        <v>44364</v>
      </c>
      <c r="J145" s="7">
        <v>0.55208333333333337</v>
      </c>
      <c r="K145" s="20">
        <v>11</v>
      </c>
      <c r="L145" s="20">
        <v>11</v>
      </c>
      <c r="M145" s="20">
        <v>17</v>
      </c>
      <c r="N145" t="s">
        <v>71</v>
      </c>
      <c r="O145" t="s">
        <v>136</v>
      </c>
      <c r="P145" s="22">
        <v>31</v>
      </c>
      <c r="Q145" t="s">
        <v>56</v>
      </c>
      <c r="R145" t="s">
        <v>345</v>
      </c>
      <c r="S145" t="s">
        <v>63</v>
      </c>
      <c r="T145">
        <f t="shared" si="18"/>
        <v>7</v>
      </c>
      <c r="U145" s="5">
        <v>44371</v>
      </c>
      <c r="V145" s="7">
        <v>0.59652777777777777</v>
      </c>
      <c r="W145" s="5">
        <v>44378</v>
      </c>
      <c r="X145" s="7">
        <v>0.4597222222222222</v>
      </c>
      <c r="Y145" s="22">
        <f t="shared" si="19"/>
        <v>7</v>
      </c>
      <c r="Z145" t="s">
        <v>217</v>
      </c>
      <c r="AA145" t="s">
        <v>217</v>
      </c>
      <c r="AB145">
        <v>2</v>
      </c>
      <c r="AC145" t="s">
        <v>66</v>
      </c>
      <c r="AD145" t="s">
        <v>351</v>
      </c>
      <c r="AE145" t="s">
        <v>242</v>
      </c>
      <c r="AF145" t="s">
        <v>67</v>
      </c>
      <c r="AG145" s="20">
        <v>13</v>
      </c>
      <c r="AH145" s="20">
        <v>12.5</v>
      </c>
      <c r="AI145" s="20">
        <v>12</v>
      </c>
      <c r="AJ145" s="22">
        <v>20</v>
      </c>
      <c r="AK145" s="22">
        <v>0</v>
      </c>
      <c r="AL145" s="22">
        <v>20</v>
      </c>
      <c r="AM145" s="74">
        <f t="shared" si="7"/>
        <v>0</v>
      </c>
      <c r="AN145" s="22" t="s">
        <v>245</v>
      </c>
      <c r="AO145" s="58">
        <v>0</v>
      </c>
      <c r="AP145" t="s">
        <v>233</v>
      </c>
      <c r="AQ145" s="22" t="s">
        <v>669</v>
      </c>
      <c r="AT145" t="s">
        <v>66</v>
      </c>
      <c r="AU145" t="s">
        <v>118</v>
      </c>
      <c r="AV145" t="s">
        <v>324</v>
      </c>
      <c r="AW145" t="s">
        <v>182</v>
      </c>
      <c r="AX145" t="s">
        <v>182</v>
      </c>
      <c r="AY145" t="s">
        <v>182</v>
      </c>
      <c r="AZ145" s="28"/>
      <c r="BA145" s="28"/>
    </row>
    <row r="146" spans="1:53" x14ac:dyDescent="0.6">
      <c r="A146" s="14" t="str">
        <f t="shared" si="15"/>
        <v>Y</v>
      </c>
      <c r="B146" s="14" t="str">
        <f t="shared" si="16"/>
        <v>Y</v>
      </c>
      <c r="C146" t="s">
        <v>141</v>
      </c>
      <c r="D146" t="s">
        <v>141</v>
      </c>
      <c r="E146" t="s">
        <v>63</v>
      </c>
      <c r="F146" t="str">
        <f t="shared" si="17"/>
        <v>Y_N</v>
      </c>
      <c r="G146" s="22">
        <v>79</v>
      </c>
      <c r="H146" t="s">
        <v>49</v>
      </c>
      <c r="I146" s="5">
        <v>44364</v>
      </c>
      <c r="J146" s="7">
        <v>0.55208333333333337</v>
      </c>
      <c r="K146" s="20">
        <v>10.5</v>
      </c>
      <c r="L146" s="20">
        <v>11</v>
      </c>
      <c r="M146" s="20">
        <v>19</v>
      </c>
      <c r="N146" t="s">
        <v>71</v>
      </c>
      <c r="O146" t="s">
        <v>161</v>
      </c>
      <c r="P146" s="22">
        <v>34</v>
      </c>
      <c r="Q146" t="s">
        <v>342</v>
      </c>
      <c r="R146" t="s">
        <v>259</v>
      </c>
      <c r="S146" s="56" t="s">
        <v>259</v>
      </c>
      <c r="T146">
        <f t="shared" si="18"/>
        <v>7</v>
      </c>
      <c r="U146" s="5">
        <v>44371</v>
      </c>
      <c r="V146" s="7">
        <v>0.6020833333333333</v>
      </c>
      <c r="W146" s="5">
        <v>44378</v>
      </c>
      <c r="X146" s="7">
        <v>0.46319444444444446</v>
      </c>
      <c r="Y146" s="22">
        <f t="shared" si="19"/>
        <v>7</v>
      </c>
      <c r="Z146" t="s">
        <v>223</v>
      </c>
      <c r="AA146" t="s">
        <v>223</v>
      </c>
      <c r="AB146">
        <v>1</v>
      </c>
      <c r="AC146" t="s">
        <v>46</v>
      </c>
      <c r="AD146" t="s">
        <v>352</v>
      </c>
      <c r="AE146" t="s">
        <v>244</v>
      </c>
      <c r="AF146" t="s">
        <v>47</v>
      </c>
      <c r="AG146" s="20">
        <v>11</v>
      </c>
      <c r="AH146" s="20">
        <v>9</v>
      </c>
      <c r="AI146" s="20">
        <v>15</v>
      </c>
      <c r="AJ146" s="22">
        <v>75</v>
      </c>
      <c r="AK146" s="22">
        <v>0</v>
      </c>
      <c r="AL146" s="22">
        <v>75</v>
      </c>
      <c r="AM146" s="74">
        <f t="shared" si="7"/>
        <v>0</v>
      </c>
      <c r="AN146" s="22" t="s">
        <v>245</v>
      </c>
      <c r="AO146" s="58">
        <v>0</v>
      </c>
      <c r="AP146" t="s">
        <v>233</v>
      </c>
      <c r="AQ146" s="22" t="s">
        <v>669</v>
      </c>
      <c r="AT146" t="s">
        <v>46</v>
      </c>
      <c r="AU146" t="s">
        <v>117</v>
      </c>
      <c r="AV146" t="s">
        <v>324</v>
      </c>
      <c r="AW146" t="s">
        <v>182</v>
      </c>
      <c r="AX146" t="s">
        <v>182</v>
      </c>
      <c r="AY146" t="s">
        <v>182</v>
      </c>
      <c r="AZ146" s="28"/>
      <c r="BA146" s="28"/>
    </row>
    <row r="147" spans="1:53" ht="17.05" customHeight="1" x14ac:dyDescent="0.6">
      <c r="A147" s="14" t="str">
        <f t="shared" si="15"/>
        <v>Y</v>
      </c>
      <c r="B147" s="14" t="str">
        <f t="shared" si="16"/>
        <v>Y</v>
      </c>
      <c r="C147" t="s">
        <v>141</v>
      </c>
      <c r="D147" t="s">
        <v>141</v>
      </c>
      <c r="E147" t="s">
        <v>63</v>
      </c>
      <c r="F147" t="str">
        <f t="shared" si="17"/>
        <v>Y_N</v>
      </c>
      <c r="G147" s="22">
        <v>79</v>
      </c>
      <c r="H147" t="s">
        <v>49</v>
      </c>
      <c r="I147" s="5">
        <v>44364</v>
      </c>
      <c r="J147" s="7">
        <v>0.55208333333333337</v>
      </c>
      <c r="K147" s="20">
        <v>10.5</v>
      </c>
      <c r="L147" s="20">
        <v>11</v>
      </c>
      <c r="M147" s="20">
        <v>19</v>
      </c>
      <c r="N147" t="s">
        <v>71</v>
      </c>
      <c r="O147" t="s">
        <v>161</v>
      </c>
      <c r="P147" s="22">
        <v>34</v>
      </c>
      <c r="Q147" t="s">
        <v>342</v>
      </c>
      <c r="R147" t="s">
        <v>259</v>
      </c>
      <c r="S147" s="56" t="s">
        <v>259</v>
      </c>
      <c r="T147">
        <f t="shared" si="18"/>
        <v>7</v>
      </c>
      <c r="U147" s="5">
        <v>44371</v>
      </c>
      <c r="V147" s="7">
        <v>0.6020833333333333</v>
      </c>
      <c r="W147" s="5">
        <v>44378</v>
      </c>
      <c r="X147" s="7">
        <v>0.46319444444444446</v>
      </c>
      <c r="Y147" s="22">
        <f t="shared" si="19"/>
        <v>7</v>
      </c>
      <c r="Z147" t="s">
        <v>223</v>
      </c>
      <c r="AA147" t="s">
        <v>223</v>
      </c>
      <c r="AB147">
        <v>2</v>
      </c>
      <c r="AC147" t="s">
        <v>117</v>
      </c>
      <c r="AD147" t="s">
        <v>117</v>
      </c>
      <c r="AE147" t="s">
        <v>242</v>
      </c>
      <c r="AF147" t="s">
        <v>120</v>
      </c>
      <c r="AG147" s="20">
        <v>13</v>
      </c>
      <c r="AH147" s="20">
        <v>9</v>
      </c>
      <c r="AI147" s="20">
        <v>11</v>
      </c>
      <c r="AJ147" s="22">
        <v>40</v>
      </c>
      <c r="AK147" s="22">
        <v>0</v>
      </c>
      <c r="AL147" s="22">
        <v>40</v>
      </c>
      <c r="AM147" s="74">
        <f t="shared" si="7"/>
        <v>0</v>
      </c>
      <c r="AN147" s="22" t="s">
        <v>245</v>
      </c>
      <c r="AO147" s="58">
        <v>0</v>
      </c>
      <c r="AP147" t="s">
        <v>233</v>
      </c>
      <c r="AQ147" s="22" t="s">
        <v>669</v>
      </c>
      <c r="AT147" t="s">
        <v>46</v>
      </c>
      <c r="AU147" t="s">
        <v>117</v>
      </c>
      <c r="AV147" t="s">
        <v>324</v>
      </c>
      <c r="AW147" t="s">
        <v>182</v>
      </c>
      <c r="AX147" t="s">
        <v>182</v>
      </c>
      <c r="AY147" t="s">
        <v>182</v>
      </c>
      <c r="AZ147" s="28"/>
      <c r="BA147" s="28"/>
    </row>
    <row r="148" spans="1:53" x14ac:dyDescent="0.6">
      <c r="A148" s="14" t="str">
        <f t="shared" si="15"/>
        <v>Y</v>
      </c>
      <c r="B148" s="14" t="str">
        <f t="shared" si="16"/>
        <v>Y</v>
      </c>
      <c r="C148" t="s">
        <v>141</v>
      </c>
      <c r="D148" t="s">
        <v>141</v>
      </c>
      <c r="E148" t="s">
        <v>63</v>
      </c>
      <c r="F148" t="str">
        <f t="shared" si="17"/>
        <v>Y_N</v>
      </c>
      <c r="G148" s="22">
        <v>81</v>
      </c>
      <c r="H148" t="s">
        <v>250</v>
      </c>
      <c r="I148" s="5">
        <v>44392</v>
      </c>
      <c r="J148" s="7">
        <v>0.46527777777777773</v>
      </c>
      <c r="K148" s="20">
        <v>10</v>
      </c>
      <c r="L148" s="20">
        <v>10</v>
      </c>
      <c r="M148" s="20">
        <v>17</v>
      </c>
      <c r="N148" t="s">
        <v>71</v>
      </c>
      <c r="O148" t="s">
        <v>353</v>
      </c>
      <c r="P148" s="22">
        <v>43</v>
      </c>
      <c r="Q148" t="s">
        <v>56</v>
      </c>
      <c r="R148" t="s">
        <v>354</v>
      </c>
      <c r="S148" t="s">
        <v>63</v>
      </c>
      <c r="T148">
        <f t="shared" si="18"/>
        <v>7</v>
      </c>
      <c r="U148" s="5">
        <v>44399</v>
      </c>
      <c r="V148" s="7">
        <v>0.59375</v>
      </c>
      <c r="W148" s="5">
        <v>44406</v>
      </c>
      <c r="X148" s="7">
        <v>0.57291666666666663</v>
      </c>
      <c r="Y148" s="22">
        <f t="shared" si="19"/>
        <v>7</v>
      </c>
      <c r="Z148" t="s">
        <v>217</v>
      </c>
      <c r="AA148" t="s">
        <v>217</v>
      </c>
      <c r="AB148">
        <v>1</v>
      </c>
      <c r="AC148" t="s">
        <v>118</v>
      </c>
      <c r="AD148" t="s">
        <v>118</v>
      </c>
      <c r="AE148" t="s">
        <v>244</v>
      </c>
      <c r="AF148" t="s">
        <v>121</v>
      </c>
      <c r="AG148" s="20">
        <v>10</v>
      </c>
      <c r="AH148" s="20">
        <v>4.5</v>
      </c>
      <c r="AI148" s="20">
        <v>11.5</v>
      </c>
      <c r="AJ148" s="22">
        <v>55</v>
      </c>
      <c r="AK148" s="22">
        <v>0</v>
      </c>
      <c r="AL148" s="22">
        <v>55</v>
      </c>
      <c r="AM148" s="77">
        <f t="shared" si="7"/>
        <v>0</v>
      </c>
      <c r="AN148" s="22" t="s">
        <v>245</v>
      </c>
      <c r="AO148" s="58">
        <v>0</v>
      </c>
      <c r="AP148" t="s">
        <v>233</v>
      </c>
      <c r="AQ148" s="22" t="s">
        <v>669</v>
      </c>
      <c r="AT148" t="s">
        <v>66</v>
      </c>
      <c r="AU148" t="s">
        <v>118</v>
      </c>
      <c r="AV148" t="s">
        <v>324</v>
      </c>
      <c r="AW148" t="s">
        <v>182</v>
      </c>
      <c r="AX148" t="s">
        <v>182</v>
      </c>
      <c r="AY148" t="s">
        <v>182</v>
      </c>
      <c r="AZ148" s="28"/>
      <c r="BA148" s="28"/>
    </row>
    <row r="149" spans="1:53" x14ac:dyDescent="0.6">
      <c r="A149" s="14" t="str">
        <f t="shared" si="15"/>
        <v>Y</v>
      </c>
      <c r="B149" s="14" t="str">
        <f t="shared" si="16"/>
        <v>Y</v>
      </c>
      <c r="C149" t="s">
        <v>141</v>
      </c>
      <c r="D149" t="s">
        <v>141</v>
      </c>
      <c r="E149" t="s">
        <v>63</v>
      </c>
      <c r="F149" t="str">
        <f t="shared" si="17"/>
        <v>Y_N</v>
      </c>
      <c r="G149" s="22">
        <v>81</v>
      </c>
      <c r="H149" t="s">
        <v>250</v>
      </c>
      <c r="I149" s="5">
        <v>44392</v>
      </c>
      <c r="J149" s="7">
        <v>0.46527777777777773</v>
      </c>
      <c r="K149" s="20">
        <v>10</v>
      </c>
      <c r="L149" s="20">
        <v>10</v>
      </c>
      <c r="M149" s="20">
        <v>17</v>
      </c>
      <c r="N149" t="s">
        <v>71</v>
      </c>
      <c r="O149" t="s">
        <v>353</v>
      </c>
      <c r="P149" s="22">
        <v>43</v>
      </c>
      <c r="Q149" t="s">
        <v>56</v>
      </c>
      <c r="R149" t="s">
        <v>354</v>
      </c>
      <c r="S149" t="s">
        <v>63</v>
      </c>
      <c r="T149">
        <f t="shared" si="18"/>
        <v>7</v>
      </c>
      <c r="U149" s="5">
        <v>44399</v>
      </c>
      <c r="V149" s="7">
        <v>0.59375</v>
      </c>
      <c r="W149" s="5">
        <v>44406</v>
      </c>
      <c r="X149" s="7">
        <v>0.57291666666666663</v>
      </c>
      <c r="Y149" s="22">
        <f t="shared" si="19"/>
        <v>7</v>
      </c>
      <c r="Z149" t="s">
        <v>217</v>
      </c>
      <c r="AA149" t="s">
        <v>217</v>
      </c>
      <c r="AB149">
        <v>2</v>
      </c>
      <c r="AC149" t="s">
        <v>66</v>
      </c>
      <c r="AD149" t="s">
        <v>351</v>
      </c>
      <c r="AE149" t="s">
        <v>242</v>
      </c>
      <c r="AF149" t="s">
        <v>67</v>
      </c>
      <c r="AG149" s="20">
        <v>7.5</v>
      </c>
      <c r="AH149" s="20">
        <v>2.5</v>
      </c>
      <c r="AI149" s="20">
        <v>7.5</v>
      </c>
      <c r="AJ149" s="22">
        <v>95</v>
      </c>
      <c r="AK149" s="22">
        <v>0</v>
      </c>
      <c r="AL149" s="22">
        <v>95</v>
      </c>
      <c r="AM149" s="77">
        <f t="shared" si="7"/>
        <v>0</v>
      </c>
      <c r="AN149" s="22" t="s">
        <v>245</v>
      </c>
      <c r="AO149" s="58">
        <v>0</v>
      </c>
      <c r="AP149" t="s">
        <v>233</v>
      </c>
      <c r="AQ149" s="22" t="s">
        <v>669</v>
      </c>
      <c r="AT149" t="s">
        <v>66</v>
      </c>
      <c r="AU149" t="s">
        <v>118</v>
      </c>
      <c r="AV149" t="s">
        <v>324</v>
      </c>
      <c r="AW149" t="s">
        <v>182</v>
      </c>
      <c r="AX149" t="s">
        <v>182</v>
      </c>
      <c r="AY149" t="s">
        <v>182</v>
      </c>
      <c r="AZ149" s="28"/>
      <c r="BA149" s="28"/>
    </row>
    <row r="150" spans="1:53" x14ac:dyDescent="0.6">
      <c r="A150" s="14" t="str">
        <f t="shared" si="15"/>
        <v>Y</v>
      </c>
      <c r="B150" s="14" t="str">
        <f t="shared" si="16"/>
        <v>Y</v>
      </c>
      <c r="C150" t="s">
        <v>141</v>
      </c>
      <c r="D150" t="s">
        <v>63</v>
      </c>
      <c r="E150" t="s">
        <v>63</v>
      </c>
      <c r="F150" t="str">
        <f t="shared" si="17"/>
        <v>N_N</v>
      </c>
      <c r="G150" s="22">
        <v>82</v>
      </c>
      <c r="H150" t="s">
        <v>51</v>
      </c>
      <c r="I150" s="5">
        <v>44392</v>
      </c>
      <c r="J150" s="7">
        <v>0.56805555555555554</v>
      </c>
      <c r="K150" s="20">
        <v>13.5</v>
      </c>
      <c r="L150" s="20">
        <v>14</v>
      </c>
      <c r="M150" s="20">
        <v>24</v>
      </c>
      <c r="N150" t="s">
        <v>55</v>
      </c>
      <c r="O150" t="s">
        <v>355</v>
      </c>
      <c r="P150" s="22">
        <v>19</v>
      </c>
      <c r="Q150" t="s">
        <v>40</v>
      </c>
      <c r="R150" t="s">
        <v>356</v>
      </c>
      <c r="S150" t="s">
        <v>63</v>
      </c>
      <c r="T150">
        <f t="shared" si="18"/>
        <v>7</v>
      </c>
      <c r="U150" s="5">
        <v>44399</v>
      </c>
      <c r="V150" s="7">
        <v>0.59027777777777779</v>
      </c>
      <c r="W150" s="5">
        <v>44406</v>
      </c>
      <c r="X150" s="7">
        <v>0.57638888888888895</v>
      </c>
      <c r="Y150" s="22">
        <f t="shared" si="19"/>
        <v>7</v>
      </c>
      <c r="Z150" t="s">
        <v>217</v>
      </c>
      <c r="AA150" t="s">
        <v>217</v>
      </c>
      <c r="AB150">
        <v>1</v>
      </c>
      <c r="AC150" t="s">
        <v>118</v>
      </c>
      <c r="AD150" t="s">
        <v>118</v>
      </c>
      <c r="AE150" t="s">
        <v>242</v>
      </c>
      <c r="AF150" t="s">
        <v>121</v>
      </c>
      <c r="AG150" s="20">
        <v>3.5</v>
      </c>
      <c r="AH150" s="20">
        <v>3</v>
      </c>
      <c r="AI150" s="20">
        <v>5.5</v>
      </c>
      <c r="AJ150" s="22">
        <v>65</v>
      </c>
      <c r="AK150" s="22">
        <v>0</v>
      </c>
      <c r="AL150" s="22">
        <v>65</v>
      </c>
      <c r="AM150" s="77">
        <f t="shared" si="7"/>
        <v>0</v>
      </c>
      <c r="AN150" s="22" t="s">
        <v>245</v>
      </c>
      <c r="AO150" s="58">
        <v>0</v>
      </c>
      <c r="AP150" t="s">
        <v>233</v>
      </c>
      <c r="AQ150" s="22" t="s">
        <v>667</v>
      </c>
      <c r="AR150" t="s">
        <v>66</v>
      </c>
      <c r="AT150" t="s">
        <v>118</v>
      </c>
      <c r="AV150" t="s">
        <v>325</v>
      </c>
      <c r="AW150" t="s">
        <v>182</v>
      </c>
      <c r="AX150" t="s">
        <v>182</v>
      </c>
      <c r="AY150" t="s">
        <v>182</v>
      </c>
      <c r="AZ150" s="28"/>
      <c r="BA150" s="28"/>
    </row>
    <row r="151" spans="1:53" x14ac:dyDescent="0.6">
      <c r="A151" s="14" t="str">
        <f t="shared" si="15"/>
        <v>Y</v>
      </c>
      <c r="B151" s="14" t="str">
        <f t="shared" si="16"/>
        <v>Y</v>
      </c>
      <c r="C151" t="s">
        <v>141</v>
      </c>
      <c r="D151" t="s">
        <v>63</v>
      </c>
      <c r="E151" t="s">
        <v>63</v>
      </c>
      <c r="F151" t="str">
        <f t="shared" si="17"/>
        <v>N_N</v>
      </c>
      <c r="G151" s="22">
        <v>82</v>
      </c>
      <c r="H151" t="s">
        <v>51</v>
      </c>
      <c r="I151" s="5">
        <v>44392</v>
      </c>
      <c r="J151" s="7">
        <v>0.56805555555555554</v>
      </c>
      <c r="K151" s="20">
        <v>13.5</v>
      </c>
      <c r="L151" s="20">
        <v>14</v>
      </c>
      <c r="M151" s="20">
        <v>24</v>
      </c>
      <c r="N151" t="s">
        <v>55</v>
      </c>
      <c r="O151" t="s">
        <v>355</v>
      </c>
      <c r="P151" s="22">
        <v>19</v>
      </c>
      <c r="Q151" t="s">
        <v>40</v>
      </c>
      <c r="R151" t="s">
        <v>356</v>
      </c>
      <c r="S151" t="s">
        <v>63</v>
      </c>
      <c r="T151">
        <f t="shared" si="18"/>
        <v>7</v>
      </c>
      <c r="U151" s="5">
        <v>44399</v>
      </c>
      <c r="V151" s="7">
        <v>0.59027777777777779</v>
      </c>
      <c r="W151" s="5">
        <v>44406</v>
      </c>
      <c r="X151" s="7">
        <v>0.57638888888888895</v>
      </c>
      <c r="Y151" s="22">
        <f t="shared" si="19"/>
        <v>7</v>
      </c>
      <c r="Z151" t="s">
        <v>217</v>
      </c>
      <c r="AA151" t="s">
        <v>217</v>
      </c>
      <c r="AB151">
        <v>2</v>
      </c>
      <c r="AC151" t="s">
        <v>66</v>
      </c>
      <c r="AD151" t="s">
        <v>351</v>
      </c>
      <c r="AE151" t="s">
        <v>244</v>
      </c>
      <c r="AF151" t="s">
        <v>67</v>
      </c>
      <c r="AG151" s="20">
        <v>2.5</v>
      </c>
      <c r="AH151" s="20">
        <v>2</v>
      </c>
      <c r="AI151" s="20">
        <v>5</v>
      </c>
      <c r="AJ151" s="22">
        <v>95</v>
      </c>
      <c r="AK151" s="22">
        <v>0</v>
      </c>
      <c r="AL151" s="22">
        <v>0</v>
      </c>
      <c r="AM151" s="77">
        <f t="shared" si="7"/>
        <v>1</v>
      </c>
      <c r="AN151" s="22" t="s">
        <v>246</v>
      </c>
      <c r="AO151" s="58">
        <v>2</v>
      </c>
      <c r="AP151" t="s">
        <v>234</v>
      </c>
      <c r="AQ151" s="22" t="s">
        <v>667</v>
      </c>
      <c r="AR151" t="s">
        <v>66</v>
      </c>
      <c r="AT151" t="s">
        <v>118</v>
      </c>
      <c r="AV151" t="s">
        <v>325</v>
      </c>
      <c r="AW151" t="s">
        <v>320</v>
      </c>
      <c r="AX151" t="s">
        <v>182</v>
      </c>
      <c r="AY151" t="s">
        <v>182</v>
      </c>
      <c r="AZ151" s="28"/>
      <c r="BA151" s="28"/>
    </row>
    <row r="152" spans="1:53" x14ac:dyDescent="0.6">
      <c r="A152" s="14" t="str">
        <f t="shared" si="15"/>
        <v>Y</v>
      </c>
      <c r="B152" s="14" t="str">
        <f t="shared" si="16"/>
        <v>Y</v>
      </c>
      <c r="C152" t="s">
        <v>141</v>
      </c>
      <c r="D152" t="s">
        <v>63</v>
      </c>
      <c r="E152" t="s">
        <v>63</v>
      </c>
      <c r="F152" t="str">
        <f t="shared" si="17"/>
        <v>N_N</v>
      </c>
      <c r="G152" s="22">
        <v>83</v>
      </c>
      <c r="H152" t="s">
        <v>50</v>
      </c>
      <c r="I152" s="5">
        <v>44392</v>
      </c>
      <c r="J152" s="7">
        <v>0.46527777777777773</v>
      </c>
      <c r="K152" s="20">
        <v>12</v>
      </c>
      <c r="L152" s="20">
        <v>12</v>
      </c>
      <c r="M152" s="20">
        <v>20</v>
      </c>
      <c r="N152" t="s">
        <v>71</v>
      </c>
      <c r="O152" t="s">
        <v>357</v>
      </c>
      <c r="P152" s="22">
        <v>42</v>
      </c>
      <c r="Q152" t="s">
        <v>42</v>
      </c>
      <c r="R152" t="s">
        <v>358</v>
      </c>
      <c r="S152" t="s">
        <v>63</v>
      </c>
      <c r="T152">
        <f t="shared" si="18"/>
        <v>7</v>
      </c>
      <c r="U152" s="5">
        <v>44399</v>
      </c>
      <c r="V152" s="7">
        <v>0.57222222222222219</v>
      </c>
      <c r="W152" s="5">
        <v>44406</v>
      </c>
      <c r="X152" s="7">
        <v>0.57986111111111105</v>
      </c>
      <c r="Y152" s="22">
        <f t="shared" si="19"/>
        <v>7</v>
      </c>
      <c r="Z152" t="s">
        <v>217</v>
      </c>
      <c r="AA152" t="s">
        <v>217</v>
      </c>
      <c r="AB152">
        <v>1</v>
      </c>
      <c r="AC152" t="s">
        <v>118</v>
      </c>
      <c r="AD152" t="s">
        <v>118</v>
      </c>
      <c r="AE152" t="s">
        <v>242</v>
      </c>
      <c r="AF152" t="s">
        <v>121</v>
      </c>
      <c r="AG152" s="20">
        <v>2.5</v>
      </c>
      <c r="AH152" s="20">
        <v>2</v>
      </c>
      <c r="AI152" s="20">
        <v>4.5</v>
      </c>
      <c r="AJ152" s="22">
        <v>95</v>
      </c>
      <c r="AK152" s="22">
        <v>0</v>
      </c>
      <c r="AL152" s="22">
        <v>95</v>
      </c>
      <c r="AM152" s="77">
        <f t="shared" si="7"/>
        <v>0</v>
      </c>
      <c r="AN152" s="22" t="s">
        <v>245</v>
      </c>
      <c r="AO152" s="58">
        <v>0</v>
      </c>
      <c r="AP152" t="s">
        <v>233</v>
      </c>
      <c r="AQ152" s="22" t="s">
        <v>667</v>
      </c>
      <c r="AR152" t="s">
        <v>66</v>
      </c>
      <c r="AT152" t="s">
        <v>118</v>
      </c>
      <c r="AV152" t="s">
        <v>325</v>
      </c>
      <c r="AW152" t="s">
        <v>182</v>
      </c>
      <c r="AX152" t="s">
        <v>182</v>
      </c>
      <c r="AY152" t="s">
        <v>182</v>
      </c>
      <c r="AZ152" s="28"/>
      <c r="BA152" s="28"/>
    </row>
    <row r="153" spans="1:53" x14ac:dyDescent="0.6">
      <c r="A153" s="14" t="str">
        <f t="shared" si="15"/>
        <v>Y</v>
      </c>
      <c r="B153" s="14" t="str">
        <f t="shared" si="16"/>
        <v>Y</v>
      </c>
      <c r="C153" t="s">
        <v>141</v>
      </c>
      <c r="D153" t="s">
        <v>63</v>
      </c>
      <c r="E153" t="s">
        <v>63</v>
      </c>
      <c r="F153" t="str">
        <f t="shared" si="17"/>
        <v>N_N</v>
      </c>
      <c r="G153" s="22">
        <v>83</v>
      </c>
      <c r="H153" t="s">
        <v>50</v>
      </c>
      <c r="I153" s="5">
        <v>44392</v>
      </c>
      <c r="J153" s="7">
        <v>0.46527777777777773</v>
      </c>
      <c r="K153" s="20">
        <v>12</v>
      </c>
      <c r="L153" s="20">
        <v>12</v>
      </c>
      <c r="M153" s="20">
        <v>20</v>
      </c>
      <c r="N153" t="s">
        <v>71</v>
      </c>
      <c r="O153" t="s">
        <v>357</v>
      </c>
      <c r="P153" s="22">
        <v>42</v>
      </c>
      <c r="Q153" t="s">
        <v>42</v>
      </c>
      <c r="R153" t="s">
        <v>358</v>
      </c>
      <c r="S153" t="s">
        <v>63</v>
      </c>
      <c r="T153">
        <f t="shared" si="18"/>
        <v>7</v>
      </c>
      <c r="U153" s="5">
        <v>44399</v>
      </c>
      <c r="V153" s="7">
        <v>0.57222222222222219</v>
      </c>
      <c r="W153" s="5">
        <v>44406</v>
      </c>
      <c r="X153" s="7">
        <v>0.57986111111111105</v>
      </c>
      <c r="Y153" s="22">
        <f t="shared" si="19"/>
        <v>7</v>
      </c>
      <c r="Z153" t="s">
        <v>217</v>
      </c>
      <c r="AA153" t="s">
        <v>217</v>
      </c>
      <c r="AB153">
        <v>2</v>
      </c>
      <c r="AC153" t="s">
        <v>66</v>
      </c>
      <c r="AD153" t="s">
        <v>351</v>
      </c>
      <c r="AE153" t="s">
        <v>244</v>
      </c>
      <c r="AF153" t="s">
        <v>67</v>
      </c>
      <c r="AG153" s="20">
        <v>4</v>
      </c>
      <c r="AH153" s="20">
        <v>1.5</v>
      </c>
      <c r="AI153" s="20">
        <v>5</v>
      </c>
      <c r="AJ153" s="22">
        <v>90</v>
      </c>
      <c r="AK153" s="22">
        <v>0</v>
      </c>
      <c r="AL153" s="22">
        <v>0</v>
      </c>
      <c r="AM153" s="77">
        <f t="shared" si="7"/>
        <v>1</v>
      </c>
      <c r="AN153" s="22" t="s">
        <v>246</v>
      </c>
      <c r="AO153" s="58">
        <v>2</v>
      </c>
      <c r="AP153" t="s">
        <v>234</v>
      </c>
      <c r="AQ153" s="22" t="s">
        <v>667</v>
      </c>
      <c r="AR153" t="s">
        <v>66</v>
      </c>
      <c r="AT153" t="s">
        <v>118</v>
      </c>
      <c r="AV153" t="s">
        <v>325</v>
      </c>
      <c r="AW153" t="s">
        <v>320</v>
      </c>
      <c r="AX153" t="s">
        <v>182</v>
      </c>
      <c r="AY153" t="s">
        <v>182</v>
      </c>
      <c r="AZ153" s="28"/>
      <c r="BA153" s="28"/>
    </row>
    <row r="154" spans="1:53" x14ac:dyDescent="0.6">
      <c r="A154" s="14" t="str">
        <f t="shared" si="15"/>
        <v>Y</v>
      </c>
      <c r="B154" s="14" t="str">
        <f t="shared" si="16"/>
        <v>Y</v>
      </c>
      <c r="C154" t="s">
        <v>141</v>
      </c>
      <c r="D154" t="s">
        <v>141</v>
      </c>
      <c r="E154" t="s">
        <v>63</v>
      </c>
      <c r="F154" t="str">
        <f t="shared" si="17"/>
        <v>Y_N</v>
      </c>
      <c r="G154" s="22">
        <v>84</v>
      </c>
      <c r="H154" t="s">
        <v>49</v>
      </c>
      <c r="I154" s="5">
        <v>44392</v>
      </c>
      <c r="J154" s="7">
        <v>0.46527777777777773</v>
      </c>
      <c r="K154" s="20">
        <v>11</v>
      </c>
      <c r="L154" s="20">
        <v>11</v>
      </c>
      <c r="M154" s="20">
        <v>16</v>
      </c>
      <c r="N154" t="s">
        <v>108</v>
      </c>
      <c r="O154" t="s">
        <v>359</v>
      </c>
      <c r="P154" s="22">
        <v>35</v>
      </c>
      <c r="Q154" t="s">
        <v>162</v>
      </c>
      <c r="R154" t="s">
        <v>343</v>
      </c>
      <c r="S154" s="56" t="s">
        <v>343</v>
      </c>
      <c r="T154">
        <f t="shared" si="18"/>
        <v>7</v>
      </c>
      <c r="U154" s="5">
        <v>44399</v>
      </c>
      <c r="V154" s="7">
        <v>0.58124999999999993</v>
      </c>
      <c r="W154" s="5">
        <v>44406</v>
      </c>
      <c r="X154" s="7">
        <v>0.58333333333333337</v>
      </c>
      <c r="Y154" s="22">
        <f t="shared" si="19"/>
        <v>7</v>
      </c>
      <c r="Z154" t="s">
        <v>223</v>
      </c>
      <c r="AA154" t="s">
        <v>223</v>
      </c>
      <c r="AB154">
        <v>1</v>
      </c>
      <c r="AC154" t="s">
        <v>46</v>
      </c>
      <c r="AD154" t="s">
        <v>352</v>
      </c>
      <c r="AE154" t="s">
        <v>242</v>
      </c>
      <c r="AF154" t="s">
        <v>47</v>
      </c>
      <c r="AG154" s="20">
        <v>12</v>
      </c>
      <c r="AH154" s="20">
        <v>9.5</v>
      </c>
      <c r="AI154" s="20">
        <v>11</v>
      </c>
      <c r="AJ154" s="22">
        <v>30</v>
      </c>
      <c r="AK154" s="22">
        <v>0</v>
      </c>
      <c r="AL154" s="22">
        <v>30</v>
      </c>
      <c r="AM154" s="77">
        <f t="shared" si="7"/>
        <v>0</v>
      </c>
      <c r="AN154" s="22" t="s">
        <v>245</v>
      </c>
      <c r="AO154" s="58">
        <v>0</v>
      </c>
      <c r="AP154" t="s">
        <v>233</v>
      </c>
      <c r="AQ154" s="22" t="s">
        <v>667</v>
      </c>
      <c r="AR154" t="s">
        <v>117</v>
      </c>
      <c r="AT154" t="s">
        <v>46</v>
      </c>
      <c r="AV154" t="s">
        <v>325</v>
      </c>
      <c r="AW154" t="s">
        <v>182</v>
      </c>
      <c r="AX154" t="s">
        <v>182</v>
      </c>
      <c r="AY154" t="s">
        <v>182</v>
      </c>
      <c r="AZ154" s="28"/>
      <c r="BA154" s="28"/>
    </row>
    <row r="155" spans="1:53" x14ac:dyDescent="0.6">
      <c r="A155" s="14" t="str">
        <f t="shared" si="15"/>
        <v>Y</v>
      </c>
      <c r="B155" s="14" t="str">
        <f t="shared" si="16"/>
        <v>Y</v>
      </c>
      <c r="C155" t="s">
        <v>141</v>
      </c>
      <c r="D155" t="s">
        <v>141</v>
      </c>
      <c r="E155" t="s">
        <v>63</v>
      </c>
      <c r="F155" t="str">
        <f t="shared" si="17"/>
        <v>Y_N</v>
      </c>
      <c r="G155" s="22">
        <v>84</v>
      </c>
      <c r="H155" t="s">
        <v>49</v>
      </c>
      <c r="I155" s="5">
        <v>44392</v>
      </c>
      <c r="J155" s="7">
        <v>0.46527777777777773</v>
      </c>
      <c r="K155" s="20">
        <v>11</v>
      </c>
      <c r="L155" s="20">
        <v>11</v>
      </c>
      <c r="M155" s="20">
        <v>16</v>
      </c>
      <c r="N155" t="s">
        <v>108</v>
      </c>
      <c r="O155" t="s">
        <v>359</v>
      </c>
      <c r="P155" s="22">
        <v>35</v>
      </c>
      <c r="Q155" t="s">
        <v>162</v>
      </c>
      <c r="R155" t="s">
        <v>343</v>
      </c>
      <c r="S155" s="56" t="s">
        <v>343</v>
      </c>
      <c r="T155">
        <f t="shared" si="18"/>
        <v>7</v>
      </c>
      <c r="U155" s="5">
        <v>44399</v>
      </c>
      <c r="V155" s="7">
        <v>0.58124999999999993</v>
      </c>
      <c r="W155" s="5">
        <v>44406</v>
      </c>
      <c r="X155" s="7">
        <v>0.58333333333333337</v>
      </c>
      <c r="Y155" s="22">
        <f t="shared" si="19"/>
        <v>7</v>
      </c>
      <c r="Z155" t="s">
        <v>223</v>
      </c>
      <c r="AA155" t="s">
        <v>223</v>
      </c>
      <c r="AB155">
        <v>2</v>
      </c>
      <c r="AC155" t="s">
        <v>117</v>
      </c>
      <c r="AD155" t="s">
        <v>117</v>
      </c>
      <c r="AE155" t="s">
        <v>244</v>
      </c>
      <c r="AF155" t="s">
        <v>120</v>
      </c>
      <c r="AG155" s="20">
        <v>15.5</v>
      </c>
      <c r="AH155" s="20">
        <v>10</v>
      </c>
      <c r="AI155" s="20">
        <v>6.5</v>
      </c>
      <c r="AJ155" s="22">
        <v>40</v>
      </c>
      <c r="AK155" s="22">
        <v>0</v>
      </c>
      <c r="AL155" s="22">
        <v>10</v>
      </c>
      <c r="AM155" s="77">
        <f t="shared" si="7"/>
        <v>0.75</v>
      </c>
      <c r="AN155" s="22" t="s">
        <v>246</v>
      </c>
      <c r="AO155" s="58">
        <v>2</v>
      </c>
      <c r="AP155" t="s">
        <v>234</v>
      </c>
      <c r="AQ155" s="22" t="s">
        <v>667</v>
      </c>
      <c r="AR155" t="s">
        <v>117</v>
      </c>
      <c r="AT155" t="s">
        <v>46</v>
      </c>
      <c r="AV155" t="s">
        <v>325</v>
      </c>
      <c r="AW155" t="s">
        <v>320</v>
      </c>
      <c r="AX155" t="s">
        <v>182</v>
      </c>
      <c r="AY155" t="s">
        <v>182</v>
      </c>
      <c r="AZ155" s="28"/>
      <c r="BA155" s="28"/>
    </row>
    <row r="156" spans="1:53" x14ac:dyDescent="0.6">
      <c r="A156" s="14" t="str">
        <f t="shared" si="15"/>
        <v>Y</v>
      </c>
      <c r="B156" s="14" t="str">
        <f t="shared" si="16"/>
        <v>Y</v>
      </c>
      <c r="C156" t="s">
        <v>141</v>
      </c>
      <c r="D156" t="s">
        <v>141</v>
      </c>
      <c r="E156" t="s">
        <v>63</v>
      </c>
      <c r="F156" t="str">
        <f t="shared" si="17"/>
        <v>Y_N</v>
      </c>
      <c r="G156" s="22">
        <v>85</v>
      </c>
      <c r="H156" t="s">
        <v>260</v>
      </c>
      <c r="I156" s="5">
        <v>44392</v>
      </c>
      <c r="J156" s="7">
        <v>0.46527777777777773</v>
      </c>
      <c r="K156" s="20">
        <v>9.5</v>
      </c>
      <c r="L156" s="20">
        <v>10</v>
      </c>
      <c r="M156" s="20">
        <v>15</v>
      </c>
      <c r="N156" t="s">
        <v>71</v>
      </c>
      <c r="O156" t="s">
        <v>357</v>
      </c>
      <c r="P156" s="22">
        <v>42</v>
      </c>
      <c r="Q156" t="s">
        <v>56</v>
      </c>
      <c r="R156" t="s">
        <v>360</v>
      </c>
      <c r="S156" t="s">
        <v>63</v>
      </c>
      <c r="T156">
        <f t="shared" si="18"/>
        <v>7</v>
      </c>
      <c r="U156" s="5">
        <v>44399</v>
      </c>
      <c r="V156" s="7">
        <v>0.58680555555555558</v>
      </c>
      <c r="W156" s="5">
        <v>44406</v>
      </c>
      <c r="X156" s="7">
        <v>0.58680555555555558</v>
      </c>
      <c r="Y156" s="22">
        <f t="shared" si="19"/>
        <v>7</v>
      </c>
      <c r="Z156" t="s">
        <v>223</v>
      </c>
      <c r="AA156" t="s">
        <v>223</v>
      </c>
      <c r="AB156">
        <v>1</v>
      </c>
      <c r="AC156" t="s">
        <v>46</v>
      </c>
      <c r="AD156" t="s">
        <v>352</v>
      </c>
      <c r="AE156" t="s">
        <v>242</v>
      </c>
      <c r="AF156" t="s">
        <v>47</v>
      </c>
      <c r="AG156" s="20">
        <v>7.5</v>
      </c>
      <c r="AH156" s="20">
        <v>6.5</v>
      </c>
      <c r="AI156" s="20">
        <v>4</v>
      </c>
      <c r="AJ156" s="22">
        <v>45</v>
      </c>
      <c r="AK156" s="22">
        <v>0</v>
      </c>
      <c r="AL156" s="22">
        <v>45</v>
      </c>
      <c r="AM156" s="77">
        <f t="shared" si="7"/>
        <v>0</v>
      </c>
      <c r="AN156" s="22" t="s">
        <v>245</v>
      </c>
      <c r="AO156" s="58">
        <v>0</v>
      </c>
      <c r="AP156" t="s">
        <v>233</v>
      </c>
      <c r="AQ156" s="22" t="s">
        <v>667</v>
      </c>
      <c r="AR156" t="s">
        <v>117</v>
      </c>
      <c r="AT156" t="s">
        <v>46</v>
      </c>
      <c r="AV156" t="s">
        <v>325</v>
      </c>
      <c r="AW156" t="s">
        <v>182</v>
      </c>
      <c r="AX156" t="s">
        <v>182</v>
      </c>
      <c r="AY156" t="s">
        <v>182</v>
      </c>
      <c r="AZ156" s="28"/>
      <c r="BA156" s="28"/>
    </row>
    <row r="157" spans="1:53" x14ac:dyDescent="0.6">
      <c r="A157" s="14" t="str">
        <f t="shared" si="15"/>
        <v>Y</v>
      </c>
      <c r="B157" s="14" t="str">
        <f t="shared" si="16"/>
        <v>Y</v>
      </c>
      <c r="C157" t="s">
        <v>141</v>
      </c>
      <c r="D157" t="s">
        <v>141</v>
      </c>
      <c r="E157" t="s">
        <v>63</v>
      </c>
      <c r="F157" t="str">
        <f>D157&amp;"_"&amp;E157</f>
        <v>Y_N</v>
      </c>
      <c r="G157" s="22">
        <v>85</v>
      </c>
      <c r="H157" t="s">
        <v>260</v>
      </c>
      <c r="I157" s="5">
        <v>44392</v>
      </c>
      <c r="J157" s="7">
        <v>0.46527777777777773</v>
      </c>
      <c r="K157" s="20">
        <v>9.5</v>
      </c>
      <c r="L157" s="20">
        <v>10</v>
      </c>
      <c r="M157" s="20">
        <v>15</v>
      </c>
      <c r="N157" t="s">
        <v>71</v>
      </c>
      <c r="O157" t="s">
        <v>357</v>
      </c>
      <c r="P157" s="22">
        <v>42</v>
      </c>
      <c r="Q157" t="s">
        <v>56</v>
      </c>
      <c r="R157" t="s">
        <v>360</v>
      </c>
      <c r="S157" t="s">
        <v>63</v>
      </c>
      <c r="T157">
        <f t="shared" si="18"/>
        <v>7</v>
      </c>
      <c r="U157" s="5">
        <v>44399</v>
      </c>
      <c r="V157" s="7">
        <v>0.58680555555555558</v>
      </c>
      <c r="W157" s="5">
        <v>44406</v>
      </c>
      <c r="X157" s="7">
        <v>0.58611111111111114</v>
      </c>
      <c r="Y157" s="22">
        <f t="shared" si="19"/>
        <v>7</v>
      </c>
      <c r="Z157" t="s">
        <v>223</v>
      </c>
      <c r="AA157" t="s">
        <v>223</v>
      </c>
      <c r="AB157">
        <v>2</v>
      </c>
      <c r="AC157" t="s">
        <v>117</v>
      </c>
      <c r="AD157" t="s">
        <v>117</v>
      </c>
      <c r="AE157" t="s">
        <v>244</v>
      </c>
      <c r="AF157" t="s">
        <v>120</v>
      </c>
      <c r="AG157" s="20">
        <v>11.5</v>
      </c>
      <c r="AH157" s="20">
        <v>6.5</v>
      </c>
      <c r="AI157" s="20">
        <v>5.5</v>
      </c>
      <c r="AJ157" s="22">
        <v>15</v>
      </c>
      <c r="AK157" s="22">
        <v>0</v>
      </c>
      <c r="AL157" s="22">
        <v>0</v>
      </c>
      <c r="AM157" s="77">
        <f t="shared" si="7"/>
        <v>1</v>
      </c>
      <c r="AN157" s="22" t="s">
        <v>246</v>
      </c>
      <c r="AO157" s="58">
        <v>2</v>
      </c>
      <c r="AP157" t="s">
        <v>234</v>
      </c>
      <c r="AQ157" s="22" t="s">
        <v>667</v>
      </c>
      <c r="AR157" t="s">
        <v>117</v>
      </c>
      <c r="AT157" t="s">
        <v>46</v>
      </c>
      <c r="AV157" t="s">
        <v>325</v>
      </c>
      <c r="AW157" t="s">
        <v>323</v>
      </c>
      <c r="AX157">
        <v>14</v>
      </c>
      <c r="AY157" s="29">
        <v>44402.25</v>
      </c>
      <c r="AZ157" s="36"/>
      <c r="BA157" s="36"/>
    </row>
    <row r="158" spans="1:53" x14ac:dyDescent="0.6">
      <c r="A158" s="14" t="str">
        <f t="shared" si="15"/>
        <v>Y</v>
      </c>
      <c r="B158" s="14" t="str">
        <f t="shared" si="16"/>
        <v>Y</v>
      </c>
      <c r="C158" s="14" t="s">
        <v>141</v>
      </c>
      <c r="D158" s="14" t="s">
        <v>141</v>
      </c>
      <c r="E158" t="s">
        <v>63</v>
      </c>
      <c r="F158" t="str">
        <f t="shared" ref="F158:F191" si="20">D158&amp;"_"&amp;E158</f>
        <v>Y_N</v>
      </c>
      <c r="G158" s="22">
        <v>86</v>
      </c>
      <c r="H158" t="s">
        <v>250</v>
      </c>
      <c r="I158" s="5">
        <v>44406</v>
      </c>
      <c r="J158" s="7">
        <v>0.58333333333333337</v>
      </c>
      <c r="K158" s="20">
        <v>12</v>
      </c>
      <c r="L158" s="20">
        <v>13</v>
      </c>
      <c r="M158" s="20">
        <v>24</v>
      </c>
      <c r="N158" t="s">
        <v>71</v>
      </c>
      <c r="O158" t="s">
        <v>138</v>
      </c>
      <c r="P158" s="22">
        <v>44</v>
      </c>
      <c r="Q158" t="s">
        <v>340</v>
      </c>
      <c r="R158" t="s">
        <v>361</v>
      </c>
      <c r="S158" t="s">
        <v>63</v>
      </c>
      <c r="T158">
        <f t="shared" si="18"/>
        <v>7</v>
      </c>
      <c r="U158" s="5">
        <v>44413</v>
      </c>
      <c r="V158" s="7">
        <v>0.59652777777777777</v>
      </c>
      <c r="W158" s="5">
        <v>44420</v>
      </c>
      <c r="X158" s="7">
        <v>0.5756944444444444</v>
      </c>
      <c r="Y158" s="22">
        <f t="shared" si="19"/>
        <v>7</v>
      </c>
      <c r="Z158" t="s">
        <v>223</v>
      </c>
      <c r="AA158" t="s">
        <v>223</v>
      </c>
      <c r="AB158">
        <v>1</v>
      </c>
      <c r="AC158" t="s">
        <v>46</v>
      </c>
      <c r="AD158" t="s">
        <v>352</v>
      </c>
      <c r="AE158" t="s">
        <v>244</v>
      </c>
      <c r="AF158" t="s">
        <v>47</v>
      </c>
      <c r="AG158" s="20">
        <v>12</v>
      </c>
      <c r="AH158" s="20">
        <v>9</v>
      </c>
      <c r="AI158" s="20">
        <v>9</v>
      </c>
      <c r="AJ158" s="22">
        <v>80</v>
      </c>
      <c r="AK158" s="22">
        <v>0</v>
      </c>
      <c r="AL158" s="22">
        <v>80</v>
      </c>
      <c r="AM158" s="77">
        <f t="shared" si="7"/>
        <v>0</v>
      </c>
      <c r="AN158" s="22" t="s">
        <v>245</v>
      </c>
      <c r="AO158" s="58">
        <v>0</v>
      </c>
      <c r="AP158" t="s">
        <v>233</v>
      </c>
      <c r="AQ158" s="22" t="s">
        <v>667</v>
      </c>
      <c r="AR158" t="s">
        <v>117</v>
      </c>
      <c r="AT158" t="s">
        <v>46</v>
      </c>
      <c r="AV158" t="s">
        <v>325</v>
      </c>
      <c r="AW158" t="s">
        <v>182</v>
      </c>
      <c r="AX158" t="s">
        <v>182</v>
      </c>
      <c r="AY158" t="s">
        <v>182</v>
      </c>
      <c r="AZ158" s="28"/>
      <c r="BA158" s="28"/>
    </row>
    <row r="159" spans="1:53" x14ac:dyDescent="0.6">
      <c r="A159" s="14" t="str">
        <f t="shared" si="15"/>
        <v>Y</v>
      </c>
      <c r="B159" s="14" t="str">
        <f t="shared" si="16"/>
        <v>Y</v>
      </c>
      <c r="C159" s="14" t="s">
        <v>141</v>
      </c>
      <c r="D159" s="14" t="s">
        <v>141</v>
      </c>
      <c r="E159" t="s">
        <v>63</v>
      </c>
      <c r="F159" t="str">
        <f t="shared" si="20"/>
        <v>Y_N</v>
      </c>
      <c r="G159" s="22">
        <v>86</v>
      </c>
      <c r="H159" t="s">
        <v>250</v>
      </c>
      <c r="I159" s="5">
        <v>44406</v>
      </c>
      <c r="J159" s="7">
        <v>0.58333333333333337</v>
      </c>
      <c r="K159" s="20">
        <v>12</v>
      </c>
      <c r="L159" s="20">
        <v>13</v>
      </c>
      <c r="M159" s="20">
        <v>24</v>
      </c>
      <c r="N159" t="s">
        <v>71</v>
      </c>
      <c r="O159" t="s">
        <v>138</v>
      </c>
      <c r="P159" s="22">
        <v>44</v>
      </c>
      <c r="Q159" t="s">
        <v>340</v>
      </c>
      <c r="R159" t="s">
        <v>361</v>
      </c>
      <c r="S159" t="s">
        <v>63</v>
      </c>
      <c r="T159">
        <f t="shared" si="18"/>
        <v>7</v>
      </c>
      <c r="U159" s="5">
        <v>44413</v>
      </c>
      <c r="V159" s="7">
        <v>0.59652777777777777</v>
      </c>
      <c r="W159" s="5">
        <v>44420</v>
      </c>
      <c r="X159" s="7">
        <v>0.5756944444444444</v>
      </c>
      <c r="Y159" s="22">
        <f t="shared" si="19"/>
        <v>7</v>
      </c>
      <c r="Z159" t="s">
        <v>223</v>
      </c>
      <c r="AA159" t="s">
        <v>223</v>
      </c>
      <c r="AB159">
        <v>2</v>
      </c>
      <c r="AC159" t="s">
        <v>117</v>
      </c>
      <c r="AD159" t="s">
        <v>117</v>
      </c>
      <c r="AE159" t="s">
        <v>242</v>
      </c>
      <c r="AF159" t="s">
        <v>120</v>
      </c>
      <c r="AG159" s="20">
        <v>22</v>
      </c>
      <c r="AH159" s="20">
        <v>13</v>
      </c>
      <c r="AI159" s="20">
        <v>9</v>
      </c>
      <c r="AJ159" s="22">
        <v>25</v>
      </c>
      <c r="AK159" s="22">
        <v>0</v>
      </c>
      <c r="AL159" s="22">
        <v>10</v>
      </c>
      <c r="AM159" s="77">
        <f t="shared" si="7"/>
        <v>0.6</v>
      </c>
      <c r="AN159" s="22" t="s">
        <v>246</v>
      </c>
      <c r="AO159" s="58">
        <v>2</v>
      </c>
      <c r="AP159" t="s">
        <v>234</v>
      </c>
      <c r="AQ159" s="22" t="s">
        <v>667</v>
      </c>
      <c r="AR159" t="s">
        <v>117</v>
      </c>
      <c r="AT159" t="s">
        <v>46</v>
      </c>
      <c r="AV159" t="s">
        <v>325</v>
      </c>
      <c r="AW159" t="s">
        <v>323</v>
      </c>
      <c r="AX159">
        <v>2</v>
      </c>
      <c r="AY159" t="s">
        <v>367</v>
      </c>
      <c r="AZ159" s="28"/>
      <c r="BA159" s="28"/>
    </row>
    <row r="160" spans="1:53" x14ac:dyDescent="0.6">
      <c r="A160" s="14" t="str">
        <f t="shared" si="15"/>
        <v>Y</v>
      </c>
      <c r="B160" s="14" t="str">
        <f t="shared" si="16"/>
        <v>Y</v>
      </c>
      <c r="C160" s="14" t="s">
        <v>141</v>
      </c>
      <c r="D160" t="s">
        <v>227</v>
      </c>
      <c r="E160" t="s">
        <v>63</v>
      </c>
      <c r="F160" t="str">
        <f t="shared" si="20"/>
        <v>half_N</v>
      </c>
      <c r="G160" s="22">
        <v>87</v>
      </c>
      <c r="H160" t="s">
        <v>51</v>
      </c>
      <c r="I160" s="5">
        <v>44406</v>
      </c>
      <c r="J160" s="7">
        <v>0.58333333333333337</v>
      </c>
      <c r="K160" s="20">
        <v>11</v>
      </c>
      <c r="L160" s="20">
        <v>11.5</v>
      </c>
      <c r="M160" s="20">
        <v>19</v>
      </c>
      <c r="N160" t="s">
        <v>89</v>
      </c>
      <c r="O160" t="s">
        <v>184</v>
      </c>
      <c r="P160" s="22">
        <v>33</v>
      </c>
      <c r="Q160" t="s">
        <v>22</v>
      </c>
      <c r="R160" t="s">
        <v>362</v>
      </c>
      <c r="S160" t="s">
        <v>63</v>
      </c>
      <c r="T160">
        <f t="shared" si="18"/>
        <v>7</v>
      </c>
      <c r="U160" s="5">
        <v>44413</v>
      </c>
      <c r="V160" s="7">
        <v>0.58958333333333335</v>
      </c>
      <c r="W160" s="5">
        <v>44420</v>
      </c>
      <c r="X160" s="7">
        <v>0.57916666666666672</v>
      </c>
      <c r="Y160" s="22">
        <f t="shared" si="19"/>
        <v>7</v>
      </c>
      <c r="Z160" t="s">
        <v>223</v>
      </c>
      <c r="AA160" t="s">
        <v>223</v>
      </c>
      <c r="AB160">
        <v>1</v>
      </c>
      <c r="AC160" t="s">
        <v>46</v>
      </c>
      <c r="AD160" t="s">
        <v>352</v>
      </c>
      <c r="AE160" t="s">
        <v>242</v>
      </c>
      <c r="AF160" t="s">
        <v>47</v>
      </c>
      <c r="AG160" s="20">
        <v>12</v>
      </c>
      <c r="AH160" s="20">
        <v>9.5</v>
      </c>
      <c r="AI160" s="20">
        <v>9</v>
      </c>
      <c r="AJ160" s="22">
        <v>90</v>
      </c>
      <c r="AK160" s="22">
        <v>0</v>
      </c>
      <c r="AL160" s="22">
        <v>85</v>
      </c>
      <c r="AM160" s="77">
        <f t="shared" si="7"/>
        <v>5.5555555555555552E-2</v>
      </c>
      <c r="AN160" s="22" t="s">
        <v>245</v>
      </c>
      <c r="AO160" s="58">
        <v>0</v>
      </c>
      <c r="AP160" t="s">
        <v>233</v>
      </c>
      <c r="AQ160" s="22" t="s">
        <v>667</v>
      </c>
      <c r="AR160" t="s">
        <v>117</v>
      </c>
      <c r="AT160" t="s">
        <v>46</v>
      </c>
      <c r="AV160" t="s">
        <v>325</v>
      </c>
      <c r="AW160" t="s">
        <v>182</v>
      </c>
      <c r="AX160" t="s">
        <v>182</v>
      </c>
      <c r="AY160" t="s">
        <v>182</v>
      </c>
      <c r="AZ160" s="28"/>
      <c r="BA160" s="28"/>
    </row>
    <row r="161" spans="1:54" x14ac:dyDescent="0.6">
      <c r="A161" s="14" t="str">
        <f t="shared" si="15"/>
        <v>Y</v>
      </c>
      <c r="B161" s="14" t="str">
        <f t="shared" si="16"/>
        <v>Y</v>
      </c>
      <c r="C161" s="14" t="s">
        <v>141</v>
      </c>
      <c r="D161" t="s">
        <v>227</v>
      </c>
      <c r="E161" t="s">
        <v>63</v>
      </c>
      <c r="F161" t="str">
        <f t="shared" si="20"/>
        <v>half_N</v>
      </c>
      <c r="G161" s="22">
        <v>87</v>
      </c>
      <c r="H161" t="s">
        <v>51</v>
      </c>
      <c r="I161" s="5">
        <v>44406</v>
      </c>
      <c r="J161" s="7">
        <v>0.58333333333333337</v>
      </c>
      <c r="K161" s="20">
        <v>11</v>
      </c>
      <c r="L161" s="20">
        <v>11.5</v>
      </c>
      <c r="M161" s="20">
        <v>19</v>
      </c>
      <c r="N161" t="s">
        <v>89</v>
      </c>
      <c r="O161" t="s">
        <v>184</v>
      </c>
      <c r="P161" s="22">
        <v>33</v>
      </c>
      <c r="Q161" t="s">
        <v>22</v>
      </c>
      <c r="R161" t="s">
        <v>362</v>
      </c>
      <c r="S161" t="s">
        <v>63</v>
      </c>
      <c r="T161">
        <f t="shared" si="18"/>
        <v>7</v>
      </c>
      <c r="U161" s="5">
        <v>44413</v>
      </c>
      <c r="V161" s="7">
        <v>0.58958333333333335</v>
      </c>
      <c r="W161" s="5">
        <v>44420</v>
      </c>
      <c r="X161" s="7">
        <v>0.57916666666666672</v>
      </c>
      <c r="Y161" s="22">
        <f t="shared" si="19"/>
        <v>7</v>
      </c>
      <c r="Z161" t="s">
        <v>223</v>
      </c>
      <c r="AA161" t="s">
        <v>223</v>
      </c>
      <c r="AB161">
        <v>2</v>
      </c>
      <c r="AC161" t="s">
        <v>117</v>
      </c>
      <c r="AD161" t="s">
        <v>117</v>
      </c>
      <c r="AE161" t="s">
        <v>244</v>
      </c>
      <c r="AF161" t="s">
        <v>120</v>
      </c>
      <c r="AG161" s="20">
        <v>12</v>
      </c>
      <c r="AH161" s="20">
        <v>9</v>
      </c>
      <c r="AI161" s="20">
        <v>9</v>
      </c>
      <c r="AJ161" s="22">
        <v>45</v>
      </c>
      <c r="AK161" s="22">
        <v>0</v>
      </c>
      <c r="AL161" s="22">
        <v>10</v>
      </c>
      <c r="AM161" s="77">
        <f t="shared" si="7"/>
        <v>0.77777777777777779</v>
      </c>
      <c r="AN161" s="22" t="s">
        <v>246</v>
      </c>
      <c r="AO161" s="58">
        <v>2</v>
      </c>
      <c r="AP161" t="s">
        <v>234</v>
      </c>
      <c r="AQ161" s="22" t="s">
        <v>667</v>
      </c>
      <c r="AR161" t="s">
        <v>117</v>
      </c>
      <c r="AT161" t="s">
        <v>46</v>
      </c>
      <c r="AV161" t="s">
        <v>325</v>
      </c>
      <c r="AW161" t="s">
        <v>320</v>
      </c>
      <c r="AX161" t="s">
        <v>182</v>
      </c>
      <c r="AY161" t="s">
        <v>182</v>
      </c>
      <c r="AZ161" s="28"/>
      <c r="BA161" s="28"/>
    </row>
    <row r="162" spans="1:54" x14ac:dyDescent="0.6">
      <c r="A162" s="14" t="str">
        <f t="shared" si="15"/>
        <v>Y</v>
      </c>
      <c r="B162" s="14" t="str">
        <f t="shared" si="16"/>
        <v>Y</v>
      </c>
      <c r="C162" s="14" t="s">
        <v>141</v>
      </c>
      <c r="D162" t="s">
        <v>63</v>
      </c>
      <c r="E162" s="14" t="s">
        <v>141</v>
      </c>
      <c r="F162" t="str">
        <f t="shared" si="20"/>
        <v>N_Y</v>
      </c>
      <c r="G162" s="22">
        <v>88</v>
      </c>
      <c r="H162" t="s">
        <v>50</v>
      </c>
      <c r="I162" s="5">
        <v>44406</v>
      </c>
      <c r="J162" s="7">
        <v>0.58333333333333337</v>
      </c>
      <c r="K162" s="20">
        <v>10</v>
      </c>
      <c r="L162" s="20">
        <v>10.5</v>
      </c>
      <c r="M162" s="20">
        <v>17</v>
      </c>
      <c r="N162" t="s">
        <v>89</v>
      </c>
      <c r="O162" t="s">
        <v>363</v>
      </c>
      <c r="P162" s="22">
        <v>36</v>
      </c>
      <c r="Q162" t="s">
        <v>57</v>
      </c>
      <c r="R162" t="s">
        <v>364</v>
      </c>
      <c r="S162" s="56" t="s">
        <v>364</v>
      </c>
      <c r="T162">
        <f t="shared" si="18"/>
        <v>7</v>
      </c>
      <c r="U162" s="5">
        <v>44413</v>
      </c>
      <c r="V162" s="7">
        <v>0.59722222222222221</v>
      </c>
      <c r="W162" s="5">
        <v>44420</v>
      </c>
      <c r="X162" s="7">
        <v>0.58263888888888882</v>
      </c>
      <c r="Y162" s="22">
        <f t="shared" si="19"/>
        <v>7</v>
      </c>
      <c r="Z162" t="s">
        <v>217</v>
      </c>
      <c r="AA162" t="s">
        <v>217</v>
      </c>
      <c r="AB162">
        <v>1</v>
      </c>
      <c r="AC162" t="s">
        <v>66</v>
      </c>
      <c r="AD162" t="s">
        <v>351</v>
      </c>
      <c r="AE162" t="s">
        <v>242</v>
      </c>
      <c r="AF162" t="s">
        <v>67</v>
      </c>
      <c r="AG162" s="20">
        <v>6</v>
      </c>
      <c r="AH162" s="20">
        <v>4</v>
      </c>
      <c r="AI162" s="20">
        <v>8</v>
      </c>
      <c r="AJ162" s="22">
        <v>85</v>
      </c>
      <c r="AK162" s="22">
        <v>0</v>
      </c>
      <c r="AL162" s="22">
        <v>0</v>
      </c>
      <c r="AM162" s="77">
        <f t="shared" si="7"/>
        <v>1</v>
      </c>
      <c r="AN162" s="22" t="s">
        <v>246</v>
      </c>
      <c r="AO162" s="58">
        <v>2</v>
      </c>
      <c r="AP162" t="s">
        <v>234</v>
      </c>
      <c r="AQ162" s="22" t="s">
        <v>667</v>
      </c>
      <c r="AR162" t="s">
        <v>66</v>
      </c>
      <c r="AT162" t="s">
        <v>118</v>
      </c>
      <c r="AV162" t="s">
        <v>325</v>
      </c>
      <c r="AW162" t="s">
        <v>368</v>
      </c>
      <c r="AX162" t="s">
        <v>182</v>
      </c>
      <c r="AY162" t="s">
        <v>369</v>
      </c>
      <c r="AZ162" s="28"/>
      <c r="BA162" s="28"/>
      <c r="BB162" s="20" t="s">
        <v>370</v>
      </c>
    </row>
    <row r="163" spans="1:54" x14ac:dyDescent="0.6">
      <c r="A163" s="14" t="str">
        <f t="shared" si="15"/>
        <v>Y</v>
      </c>
      <c r="B163" s="14" t="str">
        <f t="shared" si="16"/>
        <v>Y</v>
      </c>
      <c r="C163" s="14" t="s">
        <v>141</v>
      </c>
      <c r="D163" t="s">
        <v>63</v>
      </c>
      <c r="E163" s="14" t="s">
        <v>141</v>
      </c>
      <c r="F163" t="str">
        <f t="shared" si="20"/>
        <v>N_Y</v>
      </c>
      <c r="G163" s="22">
        <v>88</v>
      </c>
      <c r="H163" t="s">
        <v>50</v>
      </c>
      <c r="I163" s="5">
        <v>44406</v>
      </c>
      <c r="J163" s="7">
        <v>0.58333333333333337</v>
      </c>
      <c r="K163" s="20">
        <v>10</v>
      </c>
      <c r="L163" s="20">
        <v>10.5</v>
      </c>
      <c r="M163" s="20">
        <v>17</v>
      </c>
      <c r="N163" t="s">
        <v>89</v>
      </c>
      <c r="O163" t="s">
        <v>363</v>
      </c>
      <c r="P163" s="22">
        <v>36</v>
      </c>
      <c r="Q163" t="s">
        <v>57</v>
      </c>
      <c r="R163" t="s">
        <v>364</v>
      </c>
      <c r="S163" s="56" t="s">
        <v>364</v>
      </c>
      <c r="T163">
        <f t="shared" si="18"/>
        <v>7</v>
      </c>
      <c r="U163" s="5">
        <v>44413</v>
      </c>
      <c r="V163" s="7">
        <v>0.59722222222222221</v>
      </c>
      <c r="W163" s="5">
        <v>44420</v>
      </c>
      <c r="X163" s="7">
        <v>0.58263888888888882</v>
      </c>
      <c r="Y163" s="22">
        <f t="shared" si="19"/>
        <v>7</v>
      </c>
      <c r="Z163" t="s">
        <v>217</v>
      </c>
      <c r="AA163" t="s">
        <v>217</v>
      </c>
      <c r="AB163">
        <v>2</v>
      </c>
      <c r="AC163" t="s">
        <v>118</v>
      </c>
      <c r="AD163" t="s">
        <v>118</v>
      </c>
      <c r="AE163" t="s">
        <v>244</v>
      </c>
      <c r="AF163" t="s">
        <v>121</v>
      </c>
      <c r="AG163" s="20">
        <v>8</v>
      </c>
      <c r="AH163" s="20">
        <v>6</v>
      </c>
      <c r="AI163" s="20">
        <v>10</v>
      </c>
      <c r="AJ163" s="22">
        <v>60</v>
      </c>
      <c r="AK163" s="22">
        <v>0</v>
      </c>
      <c r="AL163" s="22">
        <v>60</v>
      </c>
      <c r="AM163" s="77">
        <f t="shared" si="7"/>
        <v>0</v>
      </c>
      <c r="AN163" s="22" t="s">
        <v>245</v>
      </c>
      <c r="AO163" s="58">
        <v>0</v>
      </c>
      <c r="AP163" t="s">
        <v>233</v>
      </c>
      <c r="AQ163" s="22" t="s">
        <v>667</v>
      </c>
      <c r="AR163" t="s">
        <v>66</v>
      </c>
      <c r="AT163" t="s">
        <v>118</v>
      </c>
      <c r="AV163" t="s">
        <v>325</v>
      </c>
      <c r="AW163" t="s">
        <v>182</v>
      </c>
      <c r="AX163" t="s">
        <v>182</v>
      </c>
      <c r="AY163" t="s">
        <v>182</v>
      </c>
      <c r="AZ163" s="28"/>
      <c r="BA163" s="28"/>
      <c r="BB163" s="20" t="s">
        <v>370</v>
      </c>
    </row>
    <row r="164" spans="1:54" x14ac:dyDescent="0.6">
      <c r="A164" s="14" t="str">
        <f t="shared" si="15"/>
        <v>Y</v>
      </c>
      <c r="B164" s="14" t="str">
        <f t="shared" si="16"/>
        <v>Y</v>
      </c>
      <c r="C164" s="14" t="s">
        <v>141</v>
      </c>
      <c r="D164" s="14" t="s">
        <v>141</v>
      </c>
      <c r="E164" s="14" t="s">
        <v>63</v>
      </c>
      <c r="F164" t="str">
        <f t="shared" si="20"/>
        <v>Y_N</v>
      </c>
      <c r="G164" s="22">
        <v>89</v>
      </c>
      <c r="H164" t="s">
        <v>49</v>
      </c>
      <c r="I164" s="5">
        <v>44406</v>
      </c>
      <c r="J164" s="7">
        <v>0.58333333333333337</v>
      </c>
      <c r="K164" s="20">
        <v>11</v>
      </c>
      <c r="L164" s="20">
        <v>11</v>
      </c>
      <c r="M164" s="20">
        <v>17</v>
      </c>
      <c r="N164" t="s">
        <v>88</v>
      </c>
      <c r="O164" t="s">
        <v>251</v>
      </c>
      <c r="P164" s="22">
        <v>33</v>
      </c>
      <c r="Q164" t="s">
        <v>42</v>
      </c>
      <c r="R164" t="s">
        <v>365</v>
      </c>
      <c r="S164" s="56" t="s">
        <v>365</v>
      </c>
      <c r="T164">
        <f t="shared" si="18"/>
        <v>7</v>
      </c>
      <c r="U164" s="5">
        <v>44413</v>
      </c>
      <c r="V164" s="7">
        <v>0.6020833333333333</v>
      </c>
      <c r="W164" s="5">
        <v>44420</v>
      </c>
      <c r="X164" s="7">
        <v>0.58472222222222225</v>
      </c>
      <c r="Y164" s="22">
        <f t="shared" si="19"/>
        <v>7</v>
      </c>
      <c r="Z164" t="s">
        <v>217</v>
      </c>
      <c r="AA164" t="s">
        <v>217</v>
      </c>
      <c r="AB164">
        <v>1</v>
      </c>
      <c r="AC164" t="s">
        <v>66</v>
      </c>
      <c r="AD164" t="s">
        <v>351</v>
      </c>
      <c r="AE164" t="s">
        <v>242</v>
      </c>
      <c r="AF164" t="s">
        <v>67</v>
      </c>
      <c r="AG164" s="20">
        <v>4</v>
      </c>
      <c r="AH164" s="20">
        <v>2</v>
      </c>
      <c r="AI164" s="20">
        <v>6.5</v>
      </c>
      <c r="AJ164" s="22">
        <v>95</v>
      </c>
      <c r="AK164" s="22">
        <v>0</v>
      </c>
      <c r="AL164" s="22">
        <v>0</v>
      </c>
      <c r="AM164" s="77">
        <f t="shared" si="7"/>
        <v>1</v>
      </c>
      <c r="AN164" s="22" t="s">
        <v>246</v>
      </c>
      <c r="AO164" s="58">
        <v>2</v>
      </c>
      <c r="AP164" t="s">
        <v>234</v>
      </c>
      <c r="AQ164" s="22" t="s">
        <v>667</v>
      </c>
      <c r="AR164" t="s">
        <v>66</v>
      </c>
      <c r="AT164" t="s">
        <v>118</v>
      </c>
      <c r="AV164" t="s">
        <v>325</v>
      </c>
      <c r="AW164" t="s">
        <v>320</v>
      </c>
      <c r="AX164" t="s">
        <v>182</v>
      </c>
      <c r="AY164" t="s">
        <v>182</v>
      </c>
      <c r="AZ164" s="28"/>
      <c r="BA164" s="28"/>
    </row>
    <row r="165" spans="1:54" x14ac:dyDescent="0.6">
      <c r="A165" s="14" t="str">
        <f t="shared" si="15"/>
        <v>Y</v>
      </c>
      <c r="B165" s="14" t="str">
        <f t="shared" si="16"/>
        <v>Y</v>
      </c>
      <c r="C165" s="14" t="s">
        <v>141</v>
      </c>
      <c r="D165" s="14" t="s">
        <v>141</v>
      </c>
      <c r="E165" s="14" t="s">
        <v>63</v>
      </c>
      <c r="F165" t="str">
        <f t="shared" si="20"/>
        <v>Y_N</v>
      </c>
      <c r="G165" s="22">
        <v>89</v>
      </c>
      <c r="H165" t="s">
        <v>49</v>
      </c>
      <c r="I165" s="5">
        <v>44406</v>
      </c>
      <c r="J165" s="7">
        <v>0.58333333333333337</v>
      </c>
      <c r="K165" s="20">
        <v>11</v>
      </c>
      <c r="L165" s="20">
        <v>11</v>
      </c>
      <c r="M165" s="20">
        <v>17</v>
      </c>
      <c r="N165" t="s">
        <v>88</v>
      </c>
      <c r="O165" t="s">
        <v>251</v>
      </c>
      <c r="P165" s="22">
        <v>33</v>
      </c>
      <c r="Q165" t="s">
        <v>42</v>
      </c>
      <c r="R165" t="s">
        <v>365</v>
      </c>
      <c r="S165" s="56" t="s">
        <v>365</v>
      </c>
      <c r="T165">
        <f t="shared" si="18"/>
        <v>7</v>
      </c>
      <c r="U165" s="5">
        <v>44413</v>
      </c>
      <c r="V165" s="7">
        <v>0.6020833333333333</v>
      </c>
      <c r="W165" s="5">
        <v>44420</v>
      </c>
      <c r="X165" s="7">
        <v>0.58472222222222225</v>
      </c>
      <c r="Y165" s="22">
        <f t="shared" si="19"/>
        <v>7</v>
      </c>
      <c r="Z165" t="s">
        <v>217</v>
      </c>
      <c r="AA165" t="s">
        <v>217</v>
      </c>
      <c r="AB165">
        <v>2</v>
      </c>
      <c r="AC165" t="s">
        <v>118</v>
      </c>
      <c r="AD165" t="s">
        <v>118</v>
      </c>
      <c r="AE165" t="s">
        <v>244</v>
      </c>
      <c r="AF165" t="s">
        <v>121</v>
      </c>
      <c r="AG165" s="20">
        <v>4</v>
      </c>
      <c r="AH165" s="20">
        <v>2.5</v>
      </c>
      <c r="AI165" s="20">
        <v>6.5</v>
      </c>
      <c r="AJ165" s="22">
        <v>90</v>
      </c>
      <c r="AK165" s="22">
        <v>0</v>
      </c>
      <c r="AL165" s="22">
        <v>90</v>
      </c>
      <c r="AM165" s="77">
        <f t="shared" si="7"/>
        <v>0</v>
      </c>
      <c r="AN165" s="22" t="s">
        <v>245</v>
      </c>
      <c r="AO165" s="58">
        <v>0</v>
      </c>
      <c r="AP165" t="s">
        <v>233</v>
      </c>
      <c r="AQ165" s="22" t="s">
        <v>667</v>
      </c>
      <c r="AR165" t="s">
        <v>66</v>
      </c>
      <c r="AT165" t="s">
        <v>118</v>
      </c>
      <c r="AV165" t="s">
        <v>325</v>
      </c>
      <c r="AW165" t="s">
        <v>182</v>
      </c>
      <c r="AX165" t="s">
        <v>182</v>
      </c>
      <c r="AY165" t="s">
        <v>182</v>
      </c>
      <c r="AZ165" s="28"/>
      <c r="BA165" s="28"/>
    </row>
    <row r="166" spans="1:54" x14ac:dyDescent="0.6">
      <c r="A166" s="14" t="str">
        <f t="shared" si="15"/>
        <v>Y</v>
      </c>
      <c r="B166" s="14" t="str">
        <f t="shared" si="16"/>
        <v>Y</v>
      </c>
      <c r="C166" s="14" t="s">
        <v>141</v>
      </c>
      <c r="D166" s="14" t="s">
        <v>141</v>
      </c>
      <c r="E166" s="14" t="s">
        <v>63</v>
      </c>
      <c r="F166" t="str">
        <f t="shared" si="20"/>
        <v>Y_N</v>
      </c>
      <c r="G166" s="22">
        <v>90</v>
      </c>
      <c r="H166" t="s">
        <v>260</v>
      </c>
      <c r="I166" s="5">
        <v>44406</v>
      </c>
      <c r="J166" s="7">
        <v>0.58333333333333337</v>
      </c>
      <c r="K166" s="20">
        <v>10</v>
      </c>
      <c r="L166" s="20">
        <v>10</v>
      </c>
      <c r="M166" s="20">
        <v>17</v>
      </c>
      <c r="N166" t="s">
        <v>89</v>
      </c>
      <c r="O166" t="s">
        <v>184</v>
      </c>
      <c r="P166" s="22">
        <v>33</v>
      </c>
      <c r="Q166" t="s">
        <v>42</v>
      </c>
      <c r="R166" t="s">
        <v>366</v>
      </c>
      <c r="S166" t="s">
        <v>63</v>
      </c>
      <c r="T166">
        <f t="shared" si="18"/>
        <v>7</v>
      </c>
      <c r="U166" s="5">
        <v>44413</v>
      </c>
      <c r="V166" s="7">
        <v>0.60347222222222219</v>
      </c>
      <c r="W166" s="5">
        <v>44420</v>
      </c>
      <c r="X166" s="7">
        <v>0.58819444444444446</v>
      </c>
      <c r="Y166" s="22">
        <f t="shared" si="19"/>
        <v>7</v>
      </c>
      <c r="Z166" t="s">
        <v>217</v>
      </c>
      <c r="AA166" t="s">
        <v>217</v>
      </c>
      <c r="AB166">
        <v>1</v>
      </c>
      <c r="AC166" t="s">
        <v>66</v>
      </c>
      <c r="AD166" t="s">
        <v>351</v>
      </c>
      <c r="AE166" t="s">
        <v>242</v>
      </c>
      <c r="AF166" t="s">
        <v>67</v>
      </c>
      <c r="AG166" s="20">
        <v>6</v>
      </c>
      <c r="AH166" s="20">
        <v>2</v>
      </c>
      <c r="AI166" s="20">
        <v>6.5</v>
      </c>
      <c r="AJ166" s="22">
        <v>85</v>
      </c>
      <c r="AK166" s="22">
        <v>0</v>
      </c>
      <c r="AL166" s="22">
        <v>85</v>
      </c>
      <c r="AM166" s="77">
        <f t="shared" si="7"/>
        <v>0</v>
      </c>
      <c r="AN166" s="22" t="s">
        <v>245</v>
      </c>
      <c r="AO166" s="58">
        <v>0</v>
      </c>
      <c r="AP166" t="s">
        <v>233</v>
      </c>
      <c r="AQ166" s="22" t="s">
        <v>669</v>
      </c>
      <c r="AT166" t="s">
        <v>66</v>
      </c>
      <c r="AU166" t="s">
        <v>118</v>
      </c>
      <c r="AV166" t="s">
        <v>324</v>
      </c>
      <c r="AW166" t="s">
        <v>182</v>
      </c>
      <c r="AX166" t="s">
        <v>182</v>
      </c>
      <c r="AY166" t="s">
        <v>182</v>
      </c>
      <c r="AZ166" s="28"/>
      <c r="BA166" s="28"/>
    </row>
    <row r="167" spans="1:54" x14ac:dyDescent="0.6">
      <c r="A167" s="14" t="str">
        <f t="shared" si="15"/>
        <v>Y</v>
      </c>
      <c r="B167" s="14" t="str">
        <f t="shared" si="16"/>
        <v>Y</v>
      </c>
      <c r="C167" s="14" t="s">
        <v>141</v>
      </c>
      <c r="D167" s="14" t="s">
        <v>141</v>
      </c>
      <c r="E167" s="14" t="s">
        <v>63</v>
      </c>
      <c r="F167" t="str">
        <f t="shared" si="20"/>
        <v>Y_N</v>
      </c>
      <c r="G167" s="22">
        <v>90</v>
      </c>
      <c r="H167" t="s">
        <v>260</v>
      </c>
      <c r="I167" s="5">
        <v>44406</v>
      </c>
      <c r="J167" s="7">
        <v>0.58333333333333337</v>
      </c>
      <c r="K167" s="20">
        <v>10</v>
      </c>
      <c r="L167" s="20">
        <v>10</v>
      </c>
      <c r="M167" s="20">
        <v>17</v>
      </c>
      <c r="N167" t="s">
        <v>89</v>
      </c>
      <c r="O167" t="s">
        <v>184</v>
      </c>
      <c r="P167" s="22">
        <v>33</v>
      </c>
      <c r="Q167" t="s">
        <v>42</v>
      </c>
      <c r="R167" t="s">
        <v>366</v>
      </c>
      <c r="S167" t="s">
        <v>63</v>
      </c>
      <c r="T167">
        <f t="shared" si="18"/>
        <v>7</v>
      </c>
      <c r="U167" s="5">
        <v>44413</v>
      </c>
      <c r="V167" s="7">
        <v>0.60347222222222219</v>
      </c>
      <c r="W167" s="5">
        <v>44420</v>
      </c>
      <c r="X167" s="7">
        <v>0.58819444444444446</v>
      </c>
      <c r="Y167" s="22">
        <f t="shared" si="19"/>
        <v>7</v>
      </c>
      <c r="Z167" t="s">
        <v>217</v>
      </c>
      <c r="AA167" t="s">
        <v>217</v>
      </c>
      <c r="AB167">
        <v>2</v>
      </c>
      <c r="AC167" t="s">
        <v>118</v>
      </c>
      <c r="AD167" t="s">
        <v>118</v>
      </c>
      <c r="AE167" t="s">
        <v>244</v>
      </c>
      <c r="AF167" t="s">
        <v>121</v>
      </c>
      <c r="AG167" s="20">
        <v>10</v>
      </c>
      <c r="AH167" s="20">
        <v>4</v>
      </c>
      <c r="AI167" s="20">
        <v>8</v>
      </c>
      <c r="AJ167" s="22">
        <v>35</v>
      </c>
      <c r="AK167" s="22">
        <v>0</v>
      </c>
      <c r="AL167" s="22">
        <v>35</v>
      </c>
      <c r="AM167" s="77">
        <f t="shared" si="7"/>
        <v>0</v>
      </c>
      <c r="AN167" s="22" t="s">
        <v>245</v>
      </c>
      <c r="AO167" s="58">
        <v>0</v>
      </c>
      <c r="AP167" t="s">
        <v>233</v>
      </c>
      <c r="AQ167" s="22" t="s">
        <v>669</v>
      </c>
      <c r="AT167" t="s">
        <v>66</v>
      </c>
      <c r="AU167" t="s">
        <v>118</v>
      </c>
      <c r="AV167" t="s">
        <v>324</v>
      </c>
      <c r="AW167" t="s">
        <v>182</v>
      </c>
      <c r="AX167" t="s">
        <v>182</v>
      </c>
      <c r="AY167" t="s">
        <v>182</v>
      </c>
      <c r="AZ167" s="28"/>
      <c r="BA167" s="28"/>
    </row>
    <row r="168" spans="1:54" x14ac:dyDescent="0.6">
      <c r="A168" s="14" t="str">
        <f t="shared" si="15"/>
        <v>Y</v>
      </c>
      <c r="B168" s="14" t="str">
        <f t="shared" si="16"/>
        <v>Y</v>
      </c>
      <c r="C168" s="14" t="s">
        <v>141</v>
      </c>
      <c r="D168" s="14" t="s">
        <v>141</v>
      </c>
      <c r="E168" s="14" t="s">
        <v>63</v>
      </c>
      <c r="F168" t="str">
        <f t="shared" si="20"/>
        <v>Y_N</v>
      </c>
      <c r="G168" s="22">
        <v>91</v>
      </c>
      <c r="H168" t="s">
        <v>250</v>
      </c>
      <c r="I168" s="5">
        <v>44448</v>
      </c>
      <c r="J168" s="7">
        <v>0.58333333333333337</v>
      </c>
      <c r="K168" s="20">
        <v>11.5</v>
      </c>
      <c r="L168" s="20">
        <v>11.5</v>
      </c>
      <c r="M168" s="20">
        <v>18</v>
      </c>
      <c r="N168" t="s">
        <v>71</v>
      </c>
      <c r="O168" t="s">
        <v>138</v>
      </c>
      <c r="P168" s="22">
        <v>39</v>
      </c>
      <c r="Q168" t="s">
        <v>56</v>
      </c>
      <c r="R168" t="s">
        <v>375</v>
      </c>
      <c r="S168" t="s">
        <v>63</v>
      </c>
      <c r="T168">
        <f t="shared" si="18"/>
        <v>7</v>
      </c>
      <c r="U168" s="5">
        <v>44455</v>
      </c>
      <c r="V168" s="7">
        <v>0.5756944444444444</v>
      </c>
      <c r="W168" s="5">
        <v>44462</v>
      </c>
      <c r="X168" s="7">
        <v>0.52430555555555558</v>
      </c>
      <c r="Y168" s="22">
        <f t="shared" si="19"/>
        <v>7</v>
      </c>
      <c r="Z168" t="s">
        <v>253</v>
      </c>
      <c r="AA168" t="s">
        <v>253</v>
      </c>
      <c r="AB168">
        <v>1</v>
      </c>
      <c r="AC168" t="s">
        <v>117</v>
      </c>
      <c r="AD168" t="s">
        <v>117</v>
      </c>
      <c r="AE168" t="s">
        <v>242</v>
      </c>
      <c r="AF168" t="s">
        <v>120</v>
      </c>
      <c r="AG168" s="20">
        <v>19</v>
      </c>
      <c r="AH168" s="20">
        <v>12</v>
      </c>
      <c r="AI168" s="20">
        <v>8</v>
      </c>
      <c r="AJ168" s="22">
        <v>60</v>
      </c>
      <c r="AK168" s="22">
        <v>0</v>
      </c>
      <c r="AL168" s="22">
        <v>60</v>
      </c>
      <c r="AM168" s="77">
        <f t="shared" si="7"/>
        <v>0</v>
      </c>
      <c r="AN168" s="22" t="s">
        <v>245</v>
      </c>
      <c r="AO168" s="58">
        <v>0</v>
      </c>
      <c r="AP168" t="s">
        <v>233</v>
      </c>
      <c r="AQ168" s="22" t="s">
        <v>669</v>
      </c>
      <c r="AT168" t="s">
        <v>117</v>
      </c>
      <c r="AU168" t="s">
        <v>119</v>
      </c>
      <c r="AV168" t="s">
        <v>324</v>
      </c>
      <c r="AW168" t="s">
        <v>182</v>
      </c>
      <c r="AX168" t="s">
        <v>182</v>
      </c>
      <c r="AY168" t="s">
        <v>182</v>
      </c>
      <c r="AZ168" s="28"/>
      <c r="BA168" s="28"/>
    </row>
    <row r="169" spans="1:54" x14ac:dyDescent="0.6">
      <c r="A169" s="14" t="str">
        <f t="shared" si="15"/>
        <v>Y</v>
      </c>
      <c r="B169" s="14" t="str">
        <f t="shared" si="16"/>
        <v>Y</v>
      </c>
      <c r="C169" s="14" t="s">
        <v>141</v>
      </c>
      <c r="D169" s="14" t="s">
        <v>141</v>
      </c>
      <c r="E169" s="14" t="s">
        <v>63</v>
      </c>
      <c r="F169" t="str">
        <f t="shared" si="20"/>
        <v>Y_N</v>
      </c>
      <c r="G169" s="22">
        <v>91</v>
      </c>
      <c r="H169" t="s">
        <v>250</v>
      </c>
      <c r="I169" s="5">
        <v>44448</v>
      </c>
      <c r="J169" s="7">
        <v>0.58333333333333337</v>
      </c>
      <c r="K169" s="20">
        <v>11.5</v>
      </c>
      <c r="L169" s="20">
        <v>11.5</v>
      </c>
      <c r="M169" s="20">
        <v>18</v>
      </c>
      <c r="N169" t="s">
        <v>71</v>
      </c>
      <c r="O169" t="s">
        <v>138</v>
      </c>
      <c r="P169" s="22">
        <v>39</v>
      </c>
      <c r="Q169" t="s">
        <v>56</v>
      </c>
      <c r="R169" t="s">
        <v>375</v>
      </c>
      <c r="S169" t="s">
        <v>63</v>
      </c>
      <c r="T169">
        <f t="shared" si="18"/>
        <v>7</v>
      </c>
      <c r="U169" s="5">
        <v>44455</v>
      </c>
      <c r="V169" s="7">
        <v>0.5756944444444444</v>
      </c>
      <c r="W169" s="5">
        <v>44462</v>
      </c>
      <c r="X169" s="7">
        <v>0.52430555555555558</v>
      </c>
      <c r="Y169" s="22">
        <f t="shared" si="19"/>
        <v>7</v>
      </c>
      <c r="Z169" t="s">
        <v>253</v>
      </c>
      <c r="AA169" t="s">
        <v>253</v>
      </c>
      <c r="AB169">
        <v>2</v>
      </c>
      <c r="AC169" t="s">
        <v>119</v>
      </c>
      <c r="AD169" t="s">
        <v>119</v>
      </c>
      <c r="AE169" t="s">
        <v>244</v>
      </c>
      <c r="AF169" t="s">
        <v>120</v>
      </c>
      <c r="AG169" s="20">
        <v>25</v>
      </c>
      <c r="AH169" s="20">
        <v>13</v>
      </c>
      <c r="AI169" s="20">
        <v>8</v>
      </c>
      <c r="AJ169" s="22">
        <v>70</v>
      </c>
      <c r="AK169" s="22">
        <v>0</v>
      </c>
      <c r="AL169" s="22">
        <v>70</v>
      </c>
      <c r="AM169" s="77">
        <f t="shared" si="7"/>
        <v>0</v>
      </c>
      <c r="AN169" s="22" t="s">
        <v>245</v>
      </c>
      <c r="AO169" s="58">
        <v>0</v>
      </c>
      <c r="AP169" t="s">
        <v>233</v>
      </c>
      <c r="AQ169" s="22" t="s">
        <v>669</v>
      </c>
      <c r="AT169" t="s">
        <v>117</v>
      </c>
      <c r="AU169" t="s">
        <v>119</v>
      </c>
      <c r="AV169" t="s">
        <v>324</v>
      </c>
      <c r="AW169" t="s">
        <v>182</v>
      </c>
      <c r="AX169" t="s">
        <v>182</v>
      </c>
      <c r="AY169" t="s">
        <v>182</v>
      </c>
      <c r="AZ169" s="28"/>
      <c r="BA169" s="28"/>
    </row>
    <row r="170" spans="1:54" x14ac:dyDescent="0.6">
      <c r="A170" s="14" t="str">
        <f t="shared" si="15"/>
        <v>Y</v>
      </c>
      <c r="B170" s="14" t="str">
        <f t="shared" si="16"/>
        <v>Y</v>
      </c>
      <c r="C170" s="14" t="s">
        <v>141</v>
      </c>
      <c r="D170" t="s">
        <v>63</v>
      </c>
      <c r="E170" s="14" t="s">
        <v>63</v>
      </c>
      <c r="F170" t="str">
        <f t="shared" si="20"/>
        <v>N_N</v>
      </c>
      <c r="G170" s="22">
        <v>92</v>
      </c>
      <c r="H170" t="s">
        <v>373</v>
      </c>
      <c r="I170" s="5">
        <v>44448</v>
      </c>
      <c r="J170" s="7">
        <v>0.58333333333333337</v>
      </c>
      <c r="K170" s="20">
        <v>12</v>
      </c>
      <c r="L170" s="20">
        <v>13</v>
      </c>
      <c r="M170" s="20">
        <v>18</v>
      </c>
      <c r="N170" t="s">
        <v>89</v>
      </c>
      <c r="O170" t="s">
        <v>376</v>
      </c>
      <c r="P170" s="22">
        <v>28</v>
      </c>
      <c r="Q170" t="s">
        <v>377</v>
      </c>
      <c r="R170" t="s">
        <v>378</v>
      </c>
      <c r="S170" t="s">
        <v>63</v>
      </c>
      <c r="T170">
        <f t="shared" si="18"/>
        <v>7</v>
      </c>
      <c r="U170" s="5">
        <v>44455</v>
      </c>
      <c r="V170" s="7">
        <v>0.57986111111111105</v>
      </c>
      <c r="W170" s="5">
        <v>44462</v>
      </c>
      <c r="X170" s="7">
        <v>0.52430555555555558</v>
      </c>
      <c r="Y170" s="22">
        <f t="shared" si="19"/>
        <v>7</v>
      </c>
      <c r="Z170" t="s">
        <v>253</v>
      </c>
      <c r="AA170" t="s">
        <v>253</v>
      </c>
      <c r="AB170">
        <v>1</v>
      </c>
      <c r="AC170" t="s">
        <v>117</v>
      </c>
      <c r="AD170" t="s">
        <v>117</v>
      </c>
      <c r="AE170" t="s">
        <v>244</v>
      </c>
      <c r="AF170" t="s">
        <v>120</v>
      </c>
      <c r="AG170" s="20">
        <v>7.5</v>
      </c>
      <c r="AH170" s="20">
        <v>5.5</v>
      </c>
      <c r="AI170" s="20">
        <v>4.5</v>
      </c>
      <c r="AJ170" s="22">
        <v>40</v>
      </c>
      <c r="AK170" s="22">
        <v>0</v>
      </c>
      <c r="AL170" s="22">
        <v>0</v>
      </c>
      <c r="AM170" s="77">
        <f t="shared" si="7"/>
        <v>1</v>
      </c>
      <c r="AN170" s="22" t="s">
        <v>246</v>
      </c>
      <c r="AO170" s="58">
        <v>2</v>
      </c>
      <c r="AP170" t="s">
        <v>234</v>
      </c>
      <c r="AQ170" s="22" t="s">
        <v>667</v>
      </c>
      <c r="AR170" t="s">
        <v>117</v>
      </c>
      <c r="AT170" t="s">
        <v>119</v>
      </c>
      <c r="AV170" t="s">
        <v>325</v>
      </c>
      <c r="AW170" t="s">
        <v>320</v>
      </c>
      <c r="AX170" t="s">
        <v>182</v>
      </c>
      <c r="AY170" t="s">
        <v>182</v>
      </c>
      <c r="AZ170" s="28"/>
      <c r="BA170" s="28"/>
    </row>
    <row r="171" spans="1:54" x14ac:dyDescent="0.6">
      <c r="A171" s="14" t="str">
        <f t="shared" si="15"/>
        <v>Y</v>
      </c>
      <c r="B171" s="14" t="str">
        <f t="shared" si="16"/>
        <v>Y</v>
      </c>
      <c r="C171" s="14" t="s">
        <v>141</v>
      </c>
      <c r="D171" t="s">
        <v>63</v>
      </c>
      <c r="E171" s="14" t="s">
        <v>63</v>
      </c>
      <c r="F171" t="str">
        <f t="shared" si="20"/>
        <v>N_N</v>
      </c>
      <c r="G171" s="22">
        <v>92</v>
      </c>
      <c r="H171" t="s">
        <v>373</v>
      </c>
      <c r="I171" s="5">
        <v>44448</v>
      </c>
      <c r="J171" s="7">
        <v>0.58333333333333337</v>
      </c>
      <c r="K171" s="20">
        <v>12</v>
      </c>
      <c r="L171" s="20">
        <v>13</v>
      </c>
      <c r="M171" s="20">
        <v>18</v>
      </c>
      <c r="N171" t="s">
        <v>89</v>
      </c>
      <c r="O171" t="s">
        <v>376</v>
      </c>
      <c r="P171" s="22">
        <v>28</v>
      </c>
      <c r="Q171" t="s">
        <v>377</v>
      </c>
      <c r="R171" t="s">
        <v>378</v>
      </c>
      <c r="S171" t="s">
        <v>63</v>
      </c>
      <c r="T171">
        <f t="shared" si="18"/>
        <v>7</v>
      </c>
      <c r="U171" s="5">
        <v>44455</v>
      </c>
      <c r="V171" s="7">
        <v>0.57986111111111105</v>
      </c>
      <c r="W171" s="5">
        <v>44462</v>
      </c>
      <c r="X171" s="7">
        <v>0.52430555555555558</v>
      </c>
      <c r="Y171" s="22">
        <f t="shared" si="19"/>
        <v>7</v>
      </c>
      <c r="Z171" t="s">
        <v>253</v>
      </c>
      <c r="AA171" t="s">
        <v>253</v>
      </c>
      <c r="AB171">
        <v>2</v>
      </c>
      <c r="AC171" t="s">
        <v>119</v>
      </c>
      <c r="AD171" t="s">
        <v>119</v>
      </c>
      <c r="AE171" t="s">
        <v>242</v>
      </c>
      <c r="AF171" t="s">
        <v>120</v>
      </c>
      <c r="AG171" s="20">
        <v>10</v>
      </c>
      <c r="AH171" s="20">
        <v>5.5</v>
      </c>
      <c r="AI171" s="20">
        <v>3.5</v>
      </c>
      <c r="AJ171" s="22">
        <v>40</v>
      </c>
      <c r="AK171" s="22">
        <v>0</v>
      </c>
      <c r="AL171" s="22">
        <v>40</v>
      </c>
      <c r="AM171" s="74">
        <f t="shared" si="7"/>
        <v>0</v>
      </c>
      <c r="AN171" s="22" t="s">
        <v>245</v>
      </c>
      <c r="AO171" s="58">
        <v>0</v>
      </c>
      <c r="AP171" t="s">
        <v>233</v>
      </c>
      <c r="AQ171" s="22" t="s">
        <v>667</v>
      </c>
      <c r="AR171" t="s">
        <v>117</v>
      </c>
      <c r="AT171" t="s">
        <v>119</v>
      </c>
      <c r="AV171" t="s">
        <v>325</v>
      </c>
      <c r="AW171" t="s">
        <v>182</v>
      </c>
      <c r="AX171" t="s">
        <v>182</v>
      </c>
      <c r="AY171" t="s">
        <v>182</v>
      </c>
      <c r="AZ171" s="28"/>
      <c r="BA171" s="28"/>
    </row>
    <row r="172" spans="1:54" x14ac:dyDescent="0.6">
      <c r="A172" s="14" t="str">
        <f t="shared" si="15"/>
        <v>Y</v>
      </c>
      <c r="B172" s="14" t="str">
        <f t="shared" si="16"/>
        <v>Y</v>
      </c>
      <c r="C172" s="14" t="s">
        <v>141</v>
      </c>
      <c r="D172" s="14" t="s">
        <v>141</v>
      </c>
      <c r="E172" s="14" t="s">
        <v>63</v>
      </c>
      <c r="F172" t="str">
        <f t="shared" si="20"/>
        <v>Y_N</v>
      </c>
      <c r="G172" s="22">
        <v>93</v>
      </c>
      <c r="H172" t="s">
        <v>374</v>
      </c>
      <c r="I172" s="5">
        <v>44448</v>
      </c>
      <c r="J172" s="7">
        <v>0.58333333333333337</v>
      </c>
      <c r="K172" s="20">
        <v>12.5</v>
      </c>
      <c r="L172" s="20">
        <v>13</v>
      </c>
      <c r="M172" s="20">
        <v>22</v>
      </c>
      <c r="N172" t="s">
        <v>71</v>
      </c>
      <c r="O172" t="s">
        <v>353</v>
      </c>
      <c r="P172" s="22">
        <v>55</v>
      </c>
      <c r="Q172" t="s">
        <v>162</v>
      </c>
      <c r="R172" t="s">
        <v>379</v>
      </c>
      <c r="S172" s="56" t="s">
        <v>379</v>
      </c>
      <c r="T172">
        <f t="shared" si="18"/>
        <v>7</v>
      </c>
      <c r="U172" s="5">
        <v>44455</v>
      </c>
      <c r="V172" s="7">
        <v>0.58194444444444449</v>
      </c>
      <c r="W172" s="5">
        <v>44462</v>
      </c>
      <c r="X172" s="7">
        <v>0.52430555555555558</v>
      </c>
      <c r="Y172" s="22">
        <f t="shared" si="19"/>
        <v>7</v>
      </c>
      <c r="Z172" t="s">
        <v>215</v>
      </c>
      <c r="AA172" t="s">
        <v>215</v>
      </c>
      <c r="AB172">
        <v>1</v>
      </c>
      <c r="AC172" t="s">
        <v>66</v>
      </c>
      <c r="AD172" t="s">
        <v>351</v>
      </c>
      <c r="AE172" t="s">
        <v>244</v>
      </c>
      <c r="AF172" t="s">
        <v>120</v>
      </c>
      <c r="AG172" s="20">
        <v>13</v>
      </c>
      <c r="AH172" s="20">
        <v>12</v>
      </c>
      <c r="AI172" s="20">
        <v>11</v>
      </c>
      <c r="AJ172" s="22">
        <v>15</v>
      </c>
      <c r="AK172" s="22">
        <v>0</v>
      </c>
      <c r="AL172" s="22">
        <v>0</v>
      </c>
      <c r="AM172" s="77">
        <f t="shared" si="7"/>
        <v>1</v>
      </c>
      <c r="AN172" s="22" t="s">
        <v>246</v>
      </c>
      <c r="AO172" s="58">
        <v>2</v>
      </c>
      <c r="AP172" t="s">
        <v>234</v>
      </c>
      <c r="AQ172" s="22" t="s">
        <v>667</v>
      </c>
      <c r="AR172" t="s">
        <v>66</v>
      </c>
      <c r="AT172" t="s">
        <v>98</v>
      </c>
      <c r="AV172" t="s">
        <v>325</v>
      </c>
      <c r="AW172" t="s">
        <v>320</v>
      </c>
      <c r="AX172" t="s">
        <v>182</v>
      </c>
      <c r="AY172" t="s">
        <v>182</v>
      </c>
      <c r="AZ172" s="28"/>
      <c r="BA172" s="28"/>
      <c r="BB172" s="20" t="s">
        <v>382</v>
      </c>
    </row>
    <row r="173" spans="1:54" x14ac:dyDescent="0.6">
      <c r="A173" s="14" t="str">
        <f t="shared" si="15"/>
        <v>Y</v>
      </c>
      <c r="B173" s="14" t="str">
        <f t="shared" si="16"/>
        <v>Y</v>
      </c>
      <c r="C173" s="14" t="s">
        <v>141</v>
      </c>
      <c r="D173" s="14" t="s">
        <v>141</v>
      </c>
      <c r="E173" s="14" t="s">
        <v>63</v>
      </c>
      <c r="F173" t="str">
        <f t="shared" si="20"/>
        <v>Y_N</v>
      </c>
      <c r="G173" s="22">
        <v>93</v>
      </c>
      <c r="H173" t="s">
        <v>374</v>
      </c>
      <c r="I173" s="5">
        <v>44448</v>
      </c>
      <c r="J173" s="7">
        <v>0.58333333333333337</v>
      </c>
      <c r="K173" s="20">
        <v>12.5</v>
      </c>
      <c r="L173" s="20">
        <v>13</v>
      </c>
      <c r="M173" s="20">
        <v>22</v>
      </c>
      <c r="N173" t="s">
        <v>71</v>
      </c>
      <c r="O173" t="s">
        <v>353</v>
      </c>
      <c r="P173" s="22">
        <v>55</v>
      </c>
      <c r="Q173" t="s">
        <v>162</v>
      </c>
      <c r="R173" t="s">
        <v>379</v>
      </c>
      <c r="S173" s="56" t="s">
        <v>379</v>
      </c>
      <c r="T173">
        <f t="shared" si="18"/>
        <v>7</v>
      </c>
      <c r="U173" s="5">
        <v>44455</v>
      </c>
      <c r="V173" s="7">
        <v>0.58194444444444449</v>
      </c>
      <c r="W173" s="5">
        <v>44462</v>
      </c>
      <c r="X173" s="7">
        <v>0.52430555555555558</v>
      </c>
      <c r="Y173" s="22">
        <f t="shared" si="19"/>
        <v>7</v>
      </c>
      <c r="Z173" t="s">
        <v>215</v>
      </c>
      <c r="AA173" t="s">
        <v>215</v>
      </c>
      <c r="AB173">
        <v>2</v>
      </c>
      <c r="AC173" t="s">
        <v>98</v>
      </c>
      <c r="AD173" t="s">
        <v>98</v>
      </c>
      <c r="AE173" t="s">
        <v>242</v>
      </c>
      <c r="AF173" t="s">
        <v>120</v>
      </c>
      <c r="AG173" s="20">
        <v>8.5</v>
      </c>
      <c r="AH173" s="20">
        <v>7</v>
      </c>
      <c r="AI173" s="20">
        <v>3</v>
      </c>
      <c r="AJ173" s="22">
        <v>95</v>
      </c>
      <c r="AK173" s="22">
        <v>0</v>
      </c>
      <c r="AL173" s="22">
        <v>95</v>
      </c>
      <c r="AM173" s="77">
        <f t="shared" si="7"/>
        <v>0</v>
      </c>
      <c r="AN173" s="22" t="s">
        <v>245</v>
      </c>
      <c r="AO173" s="58">
        <v>0</v>
      </c>
      <c r="AP173" t="s">
        <v>233</v>
      </c>
      <c r="AQ173" s="22" t="s">
        <v>667</v>
      </c>
      <c r="AR173" t="s">
        <v>66</v>
      </c>
      <c r="AT173" t="s">
        <v>98</v>
      </c>
      <c r="AV173" t="s">
        <v>325</v>
      </c>
      <c r="AW173" t="s">
        <v>182</v>
      </c>
      <c r="AX173" t="s">
        <v>182</v>
      </c>
      <c r="AY173" t="s">
        <v>182</v>
      </c>
      <c r="AZ173" s="28"/>
      <c r="BA173" s="28"/>
      <c r="BB173" s="20" t="s">
        <v>382</v>
      </c>
    </row>
    <row r="174" spans="1:54" x14ac:dyDescent="0.6">
      <c r="A174" s="14" t="str">
        <f t="shared" si="15"/>
        <v>N</v>
      </c>
      <c r="B174" s="14" t="str">
        <f t="shared" si="16"/>
        <v>Y</v>
      </c>
      <c r="C174" s="14" t="s">
        <v>141</v>
      </c>
      <c r="D174" s="14" t="s">
        <v>141</v>
      </c>
      <c r="E174" s="14" t="s">
        <v>63</v>
      </c>
      <c r="F174" t="str">
        <f t="shared" si="20"/>
        <v>Y_N</v>
      </c>
      <c r="G174" s="22">
        <v>94</v>
      </c>
      <c r="H174" t="s">
        <v>49</v>
      </c>
      <c r="I174" s="5">
        <v>44449</v>
      </c>
      <c r="J174" s="7">
        <v>0.58333333333333337</v>
      </c>
      <c r="K174" s="20">
        <v>12.5</v>
      </c>
      <c r="L174" s="20">
        <v>12</v>
      </c>
      <c r="M174" s="20">
        <v>21</v>
      </c>
      <c r="N174" t="s">
        <v>88</v>
      </c>
      <c r="O174" t="s">
        <v>380</v>
      </c>
      <c r="P174" s="22">
        <v>30</v>
      </c>
      <c r="Q174" t="s">
        <v>42</v>
      </c>
      <c r="R174" t="s">
        <v>365</v>
      </c>
      <c r="S174" s="56" t="s">
        <v>365</v>
      </c>
      <c r="T174">
        <f t="shared" si="18"/>
        <v>6</v>
      </c>
      <c r="U174" s="5">
        <v>44455</v>
      </c>
      <c r="V174" s="7">
        <v>0.5854166666666667</v>
      </c>
      <c r="W174" s="5">
        <v>44462</v>
      </c>
      <c r="X174" s="7">
        <v>0.52430555555555558</v>
      </c>
      <c r="Y174" s="22">
        <f t="shared" si="19"/>
        <v>7</v>
      </c>
      <c r="Z174" t="s">
        <v>222</v>
      </c>
      <c r="AA174" t="s">
        <v>222</v>
      </c>
      <c r="AB174">
        <v>1</v>
      </c>
      <c r="AC174" t="s">
        <v>117</v>
      </c>
      <c r="AD174" t="s">
        <v>117</v>
      </c>
      <c r="AE174" t="s">
        <v>242</v>
      </c>
      <c r="AF174" t="s">
        <v>120</v>
      </c>
      <c r="AG174" s="20">
        <v>20</v>
      </c>
      <c r="AH174" s="20">
        <v>14.5</v>
      </c>
      <c r="AI174" s="20">
        <v>12</v>
      </c>
      <c r="AJ174" s="22">
        <v>10</v>
      </c>
      <c r="AK174" s="22">
        <v>0</v>
      </c>
      <c r="AL174" s="22">
        <v>0</v>
      </c>
      <c r="AM174" s="77">
        <f t="shared" si="7"/>
        <v>1</v>
      </c>
      <c r="AN174" s="22" t="s">
        <v>246</v>
      </c>
      <c r="AO174" s="58">
        <v>2</v>
      </c>
      <c r="AP174" t="s">
        <v>234</v>
      </c>
      <c r="AQ174" s="22" t="s">
        <v>667</v>
      </c>
      <c r="AR174" t="s">
        <v>117</v>
      </c>
      <c r="AT174" t="s">
        <v>118</v>
      </c>
      <c r="AV174" t="s">
        <v>325</v>
      </c>
      <c r="AW174" t="s">
        <v>323</v>
      </c>
      <c r="AX174">
        <v>2</v>
      </c>
      <c r="AY174" t="s">
        <v>383</v>
      </c>
      <c r="AZ174" s="28"/>
      <c r="BA174" s="28"/>
      <c r="BB174" s="20" t="s">
        <v>384</v>
      </c>
    </row>
    <row r="175" spans="1:54" x14ac:dyDescent="0.6">
      <c r="A175" s="14" t="str">
        <f t="shared" si="15"/>
        <v>N</v>
      </c>
      <c r="B175" s="14" t="str">
        <f t="shared" si="16"/>
        <v>Y</v>
      </c>
      <c r="C175" s="14" t="s">
        <v>141</v>
      </c>
      <c r="D175" s="14" t="s">
        <v>141</v>
      </c>
      <c r="E175" s="14" t="s">
        <v>63</v>
      </c>
      <c r="F175" t="str">
        <f t="shared" si="20"/>
        <v>Y_N</v>
      </c>
      <c r="G175" s="22">
        <v>94</v>
      </c>
      <c r="H175" t="s">
        <v>49</v>
      </c>
      <c r="I175" s="5">
        <v>44449</v>
      </c>
      <c r="J175" s="7">
        <v>0.58333333333333337</v>
      </c>
      <c r="K175" s="20">
        <v>12.5</v>
      </c>
      <c r="L175" s="20">
        <v>12</v>
      </c>
      <c r="M175" s="20">
        <v>21</v>
      </c>
      <c r="N175" t="s">
        <v>88</v>
      </c>
      <c r="O175" t="s">
        <v>380</v>
      </c>
      <c r="P175" s="22">
        <v>30</v>
      </c>
      <c r="Q175" t="s">
        <v>42</v>
      </c>
      <c r="R175" t="s">
        <v>365</v>
      </c>
      <c r="S175" s="56" t="s">
        <v>365</v>
      </c>
      <c r="T175">
        <f t="shared" si="18"/>
        <v>6</v>
      </c>
      <c r="U175" s="5">
        <v>44455</v>
      </c>
      <c r="V175" s="7">
        <v>0.5854166666666667</v>
      </c>
      <c r="W175" s="5">
        <v>44462</v>
      </c>
      <c r="X175" s="7">
        <v>0.52430555555555558</v>
      </c>
      <c r="Y175" s="22">
        <f t="shared" si="19"/>
        <v>7</v>
      </c>
      <c r="Z175" t="s">
        <v>222</v>
      </c>
      <c r="AA175" t="s">
        <v>222</v>
      </c>
      <c r="AB175">
        <v>2</v>
      </c>
      <c r="AC175" t="s">
        <v>118</v>
      </c>
      <c r="AD175" t="s">
        <v>118</v>
      </c>
      <c r="AE175" t="s">
        <v>244</v>
      </c>
      <c r="AF175" t="s">
        <v>121</v>
      </c>
      <c r="AG175" s="20">
        <v>26</v>
      </c>
      <c r="AH175" s="20">
        <v>11</v>
      </c>
      <c r="AI175" s="20">
        <v>9.5</v>
      </c>
      <c r="AJ175" s="22">
        <v>20</v>
      </c>
      <c r="AK175" s="22">
        <v>0</v>
      </c>
      <c r="AL175" s="22">
        <v>20</v>
      </c>
      <c r="AM175" s="77">
        <f t="shared" si="7"/>
        <v>0</v>
      </c>
      <c r="AN175" s="22" t="s">
        <v>245</v>
      </c>
      <c r="AO175" s="58">
        <v>0</v>
      </c>
      <c r="AP175" t="s">
        <v>233</v>
      </c>
      <c r="AQ175" s="22" t="s">
        <v>667</v>
      </c>
      <c r="AR175" t="s">
        <v>117</v>
      </c>
      <c r="AT175" t="s">
        <v>118</v>
      </c>
      <c r="AV175" t="s">
        <v>325</v>
      </c>
      <c r="AW175" t="s">
        <v>182</v>
      </c>
      <c r="AX175" t="s">
        <v>182</v>
      </c>
      <c r="AY175" t="s">
        <v>182</v>
      </c>
      <c r="AZ175" s="28"/>
      <c r="BA175" s="28"/>
    </row>
    <row r="176" spans="1:54" x14ac:dyDescent="0.6">
      <c r="A176" s="14" t="str">
        <f t="shared" si="15"/>
        <v>Y</v>
      </c>
      <c r="B176" s="14" t="str">
        <f t="shared" si="16"/>
        <v>Y</v>
      </c>
      <c r="C176" s="14" t="s">
        <v>141</v>
      </c>
      <c r="D176" s="14" t="s">
        <v>141</v>
      </c>
      <c r="E176" s="14" t="s">
        <v>63</v>
      </c>
      <c r="F176" t="str">
        <f t="shared" si="20"/>
        <v>Y_N</v>
      </c>
      <c r="G176" s="22">
        <v>95</v>
      </c>
      <c r="H176" t="s">
        <v>260</v>
      </c>
      <c r="I176" s="5">
        <v>44448</v>
      </c>
      <c r="J176" s="7">
        <v>0.58333333333333337</v>
      </c>
      <c r="K176" s="20">
        <v>10.5</v>
      </c>
      <c r="L176" s="20">
        <v>10.5</v>
      </c>
      <c r="M176" s="20">
        <v>16</v>
      </c>
      <c r="N176" t="s">
        <v>88</v>
      </c>
      <c r="O176" t="s">
        <v>251</v>
      </c>
      <c r="P176" s="22">
        <v>32</v>
      </c>
      <c r="Q176" t="s">
        <v>162</v>
      </c>
      <c r="R176" t="s">
        <v>381</v>
      </c>
      <c r="S176" t="s">
        <v>63</v>
      </c>
      <c r="T176">
        <f t="shared" si="18"/>
        <v>7</v>
      </c>
      <c r="U176" s="5">
        <v>44455</v>
      </c>
      <c r="V176" s="7">
        <v>0.58819444444444446</v>
      </c>
      <c r="W176" s="5">
        <v>44462</v>
      </c>
      <c r="X176" s="7">
        <v>0.52430555555555558</v>
      </c>
      <c r="Y176" s="22">
        <f t="shared" si="19"/>
        <v>7</v>
      </c>
      <c r="Z176" t="s">
        <v>222</v>
      </c>
      <c r="AA176" t="s">
        <v>222</v>
      </c>
      <c r="AB176">
        <v>1</v>
      </c>
      <c r="AC176" t="s">
        <v>117</v>
      </c>
      <c r="AD176" t="s">
        <v>117</v>
      </c>
      <c r="AE176" t="s">
        <v>242</v>
      </c>
      <c r="AF176" t="s">
        <v>120</v>
      </c>
      <c r="AG176" s="20">
        <v>6</v>
      </c>
      <c r="AH176" s="20">
        <v>4.5</v>
      </c>
      <c r="AI176" s="20">
        <v>3</v>
      </c>
      <c r="AJ176" s="22">
        <v>20</v>
      </c>
      <c r="AK176" s="22">
        <v>0</v>
      </c>
      <c r="AL176" s="22">
        <v>20</v>
      </c>
      <c r="AM176" s="77">
        <f t="shared" si="7"/>
        <v>0</v>
      </c>
      <c r="AN176" s="22" t="s">
        <v>245</v>
      </c>
      <c r="AO176" s="58">
        <v>0</v>
      </c>
      <c r="AP176" t="s">
        <v>233</v>
      </c>
      <c r="AQ176" s="22" t="s">
        <v>669</v>
      </c>
      <c r="AT176" t="s">
        <v>117</v>
      </c>
      <c r="AU176" t="s">
        <v>118</v>
      </c>
      <c r="AV176" t="s">
        <v>324</v>
      </c>
      <c r="AW176" t="s">
        <v>182</v>
      </c>
      <c r="AX176" t="s">
        <v>182</v>
      </c>
      <c r="AY176" t="s">
        <v>182</v>
      </c>
      <c r="AZ176" s="28"/>
      <c r="BA176" s="28"/>
    </row>
    <row r="177" spans="1:54" x14ac:dyDescent="0.6">
      <c r="A177" s="14" t="str">
        <f t="shared" si="15"/>
        <v>Y</v>
      </c>
      <c r="B177" s="14" t="str">
        <f t="shared" si="16"/>
        <v>Y</v>
      </c>
      <c r="C177" s="14" t="s">
        <v>141</v>
      </c>
      <c r="D177" s="14" t="s">
        <v>141</v>
      </c>
      <c r="E177" s="14" t="s">
        <v>63</v>
      </c>
      <c r="F177" t="str">
        <f t="shared" si="20"/>
        <v>Y_N</v>
      </c>
      <c r="G177" s="22">
        <v>95</v>
      </c>
      <c r="H177" t="s">
        <v>260</v>
      </c>
      <c r="I177" s="5">
        <v>44448</v>
      </c>
      <c r="J177" s="7">
        <v>0.58333333333333337</v>
      </c>
      <c r="K177" s="20">
        <v>10.5</v>
      </c>
      <c r="L177" s="20">
        <v>10.5</v>
      </c>
      <c r="M177" s="20">
        <v>16</v>
      </c>
      <c r="N177" t="s">
        <v>88</v>
      </c>
      <c r="O177" t="s">
        <v>251</v>
      </c>
      <c r="P177" s="22">
        <v>32</v>
      </c>
      <c r="Q177" t="s">
        <v>162</v>
      </c>
      <c r="R177" t="s">
        <v>381</v>
      </c>
      <c r="S177" t="s">
        <v>63</v>
      </c>
      <c r="T177">
        <f t="shared" si="18"/>
        <v>7</v>
      </c>
      <c r="U177" s="5">
        <v>44455</v>
      </c>
      <c r="V177" s="7">
        <v>0.58819444444444446</v>
      </c>
      <c r="W177" s="5">
        <v>44462</v>
      </c>
      <c r="X177" s="7">
        <v>0.52430555555555558</v>
      </c>
      <c r="Y177" s="22">
        <f t="shared" si="19"/>
        <v>7</v>
      </c>
      <c r="Z177" t="s">
        <v>222</v>
      </c>
      <c r="AA177" t="s">
        <v>222</v>
      </c>
      <c r="AB177">
        <v>2</v>
      </c>
      <c r="AC177" t="s">
        <v>118</v>
      </c>
      <c r="AD177" t="s">
        <v>118</v>
      </c>
      <c r="AE177" t="s">
        <v>244</v>
      </c>
      <c r="AF177" t="s">
        <v>121</v>
      </c>
      <c r="AG177" s="20">
        <v>8</v>
      </c>
      <c r="AH177" s="20">
        <v>2.5</v>
      </c>
      <c r="AI177" s="20">
        <v>8.5</v>
      </c>
      <c r="AJ177" s="22">
        <v>80</v>
      </c>
      <c r="AK177" s="22">
        <v>0</v>
      </c>
      <c r="AL177" s="22">
        <v>80</v>
      </c>
      <c r="AM177" s="77">
        <f t="shared" si="7"/>
        <v>0</v>
      </c>
      <c r="AN177" s="22" t="s">
        <v>245</v>
      </c>
      <c r="AO177" s="58">
        <v>0</v>
      </c>
      <c r="AP177" t="s">
        <v>233</v>
      </c>
      <c r="AQ177" s="22" t="s">
        <v>669</v>
      </c>
      <c r="AT177" t="s">
        <v>117</v>
      </c>
      <c r="AU177" t="s">
        <v>118</v>
      </c>
      <c r="AV177" t="s">
        <v>324</v>
      </c>
      <c r="AW177" t="s">
        <v>182</v>
      </c>
      <c r="AX177" t="s">
        <v>182</v>
      </c>
      <c r="AY177" t="s">
        <v>182</v>
      </c>
      <c r="AZ177" s="28"/>
      <c r="BA177" s="28"/>
    </row>
    <row r="178" spans="1:54" x14ac:dyDescent="0.6">
      <c r="A178" s="14" t="str">
        <f t="shared" si="15"/>
        <v>Y</v>
      </c>
      <c r="B178" s="14" t="str">
        <f t="shared" si="16"/>
        <v>Y</v>
      </c>
      <c r="C178" s="14" t="s">
        <v>141</v>
      </c>
      <c r="D178" s="14" t="s">
        <v>141</v>
      </c>
      <c r="E178" s="14" t="s">
        <v>63</v>
      </c>
      <c r="F178" t="str">
        <f t="shared" si="20"/>
        <v>Y_N</v>
      </c>
      <c r="G178" s="22">
        <v>96</v>
      </c>
      <c r="H178" t="s">
        <v>250</v>
      </c>
      <c r="I178" s="5">
        <v>44462</v>
      </c>
      <c r="J178" s="7">
        <v>0.53125</v>
      </c>
      <c r="K178" s="20">
        <v>13</v>
      </c>
      <c r="L178" s="20">
        <v>13</v>
      </c>
      <c r="M178" s="20">
        <v>21</v>
      </c>
      <c r="N178" t="s">
        <v>108</v>
      </c>
      <c r="O178" t="s">
        <v>167</v>
      </c>
      <c r="P178" s="22">
        <v>30</v>
      </c>
      <c r="Q178" t="s">
        <v>56</v>
      </c>
      <c r="R178" t="s">
        <v>385</v>
      </c>
      <c r="S178" t="s">
        <v>63</v>
      </c>
      <c r="T178">
        <f t="shared" si="18"/>
        <v>7</v>
      </c>
      <c r="U178" s="5">
        <v>44469</v>
      </c>
      <c r="V178" s="7">
        <v>0.56527777777777777</v>
      </c>
      <c r="W178" s="5">
        <v>44476</v>
      </c>
      <c r="X178" s="7">
        <v>0.59930555555555554</v>
      </c>
      <c r="Y178" s="22">
        <f t="shared" si="19"/>
        <v>7</v>
      </c>
      <c r="Z178" t="s">
        <v>386</v>
      </c>
      <c r="AA178" t="s">
        <v>386</v>
      </c>
      <c r="AB178">
        <v>1</v>
      </c>
      <c r="AC178" t="s">
        <v>66</v>
      </c>
      <c r="AD178" t="s">
        <v>351</v>
      </c>
      <c r="AE178" t="s">
        <v>244</v>
      </c>
      <c r="AF178" t="s">
        <v>67</v>
      </c>
      <c r="AG178" s="20">
        <v>7</v>
      </c>
      <c r="AH178" s="20">
        <v>4</v>
      </c>
      <c r="AI178" s="20">
        <v>7</v>
      </c>
      <c r="AJ178" s="22">
        <v>35</v>
      </c>
      <c r="AK178" s="22">
        <v>0</v>
      </c>
      <c r="AL178" s="22">
        <v>0</v>
      </c>
      <c r="AM178" s="77">
        <f t="shared" si="7"/>
        <v>1</v>
      </c>
      <c r="AN178" s="22" t="s">
        <v>246</v>
      </c>
      <c r="AO178" s="58">
        <v>2</v>
      </c>
      <c r="AP178" t="s">
        <v>234</v>
      </c>
      <c r="AQ178" s="22" t="s">
        <v>667</v>
      </c>
      <c r="AR178" t="s">
        <v>66</v>
      </c>
      <c r="AT178" t="s">
        <v>288</v>
      </c>
      <c r="AV178" t="s">
        <v>325</v>
      </c>
      <c r="AW178" t="s">
        <v>320</v>
      </c>
      <c r="AX178" t="s">
        <v>182</v>
      </c>
      <c r="AY178" t="s">
        <v>182</v>
      </c>
      <c r="AZ178" s="28"/>
      <c r="BA178" s="28"/>
    </row>
    <row r="179" spans="1:54" x14ac:dyDescent="0.6">
      <c r="A179" s="14" t="str">
        <f t="shared" si="15"/>
        <v>Y</v>
      </c>
      <c r="B179" s="14" t="str">
        <f t="shared" si="16"/>
        <v>Y</v>
      </c>
      <c r="C179" s="14" t="s">
        <v>141</v>
      </c>
      <c r="D179" s="14" t="s">
        <v>141</v>
      </c>
      <c r="E179" s="14" t="s">
        <v>63</v>
      </c>
      <c r="F179" t="str">
        <f t="shared" si="20"/>
        <v>Y_N</v>
      </c>
      <c r="G179" s="22">
        <v>96</v>
      </c>
      <c r="H179" t="s">
        <v>250</v>
      </c>
      <c r="I179" s="5">
        <v>44462</v>
      </c>
      <c r="J179" s="7">
        <v>0.53125</v>
      </c>
      <c r="K179" s="20">
        <v>13</v>
      </c>
      <c r="L179" s="20">
        <v>13</v>
      </c>
      <c r="M179" s="20">
        <v>21</v>
      </c>
      <c r="N179" t="s">
        <v>108</v>
      </c>
      <c r="O179" t="s">
        <v>167</v>
      </c>
      <c r="P179" s="22">
        <v>30</v>
      </c>
      <c r="Q179" t="s">
        <v>56</v>
      </c>
      <c r="R179" t="s">
        <v>385</v>
      </c>
      <c r="S179" t="s">
        <v>63</v>
      </c>
      <c r="T179">
        <f t="shared" si="18"/>
        <v>7</v>
      </c>
      <c r="U179" s="5">
        <v>44469</v>
      </c>
      <c r="V179" s="7">
        <v>0.56527777777777777</v>
      </c>
      <c r="W179" s="5">
        <v>44476</v>
      </c>
      <c r="X179" s="7">
        <v>0.59930555555555554</v>
      </c>
      <c r="Y179" s="22">
        <f t="shared" si="19"/>
        <v>7</v>
      </c>
      <c r="Z179" t="s">
        <v>386</v>
      </c>
      <c r="AA179" t="s">
        <v>386</v>
      </c>
      <c r="AB179">
        <v>2</v>
      </c>
      <c r="AC179" t="s">
        <v>288</v>
      </c>
      <c r="AD179" t="s">
        <v>288</v>
      </c>
      <c r="AE179" t="s">
        <v>242</v>
      </c>
      <c r="AF179" t="s">
        <v>120</v>
      </c>
      <c r="AG179" s="20">
        <v>6</v>
      </c>
      <c r="AH179" s="20">
        <v>3.5</v>
      </c>
      <c r="AI179" s="20">
        <v>2</v>
      </c>
      <c r="AJ179" s="22">
        <v>40</v>
      </c>
      <c r="AK179" s="22">
        <v>0</v>
      </c>
      <c r="AL179" s="22">
        <v>40</v>
      </c>
      <c r="AM179" s="77">
        <f t="shared" si="7"/>
        <v>0</v>
      </c>
      <c r="AN179" s="22" t="s">
        <v>245</v>
      </c>
      <c r="AO179" s="58">
        <v>0</v>
      </c>
      <c r="AP179" t="s">
        <v>233</v>
      </c>
      <c r="AQ179" s="22" t="s">
        <v>667</v>
      </c>
      <c r="AR179" t="s">
        <v>66</v>
      </c>
      <c r="AT179" t="s">
        <v>288</v>
      </c>
      <c r="AV179" t="s">
        <v>325</v>
      </c>
      <c r="AW179" t="s">
        <v>182</v>
      </c>
      <c r="AX179" t="s">
        <v>182</v>
      </c>
      <c r="AY179" t="s">
        <v>182</v>
      </c>
      <c r="AZ179" s="28"/>
      <c r="BA179" s="28"/>
      <c r="BB179" s="20" t="s">
        <v>391</v>
      </c>
    </row>
    <row r="180" spans="1:54" x14ac:dyDescent="0.6">
      <c r="A180" s="14" t="str">
        <f t="shared" si="15"/>
        <v>Y</v>
      </c>
      <c r="B180" s="14" t="str">
        <f t="shared" si="16"/>
        <v>Y</v>
      </c>
      <c r="C180" s="14" t="s">
        <v>141</v>
      </c>
      <c r="D180" s="14" t="s">
        <v>63</v>
      </c>
      <c r="E180" s="14" t="s">
        <v>63</v>
      </c>
      <c r="F180" t="str">
        <f t="shared" si="20"/>
        <v>N_N</v>
      </c>
      <c r="G180" s="22">
        <v>97</v>
      </c>
      <c r="H180" t="s">
        <v>373</v>
      </c>
      <c r="I180" s="5">
        <v>44462</v>
      </c>
      <c r="J180" s="7">
        <v>0.53125</v>
      </c>
      <c r="K180" s="20">
        <v>12.5</v>
      </c>
      <c r="L180" s="20">
        <v>12</v>
      </c>
      <c r="M180" s="20">
        <v>20</v>
      </c>
      <c r="N180" t="s">
        <v>108</v>
      </c>
      <c r="O180" t="s">
        <v>168</v>
      </c>
      <c r="P180" s="22">
        <v>27</v>
      </c>
      <c r="Q180" t="s">
        <v>56</v>
      </c>
      <c r="R180" t="s">
        <v>387</v>
      </c>
      <c r="S180" t="s">
        <v>63</v>
      </c>
      <c r="T180">
        <f t="shared" si="18"/>
        <v>7</v>
      </c>
      <c r="U180" s="5">
        <v>44469</v>
      </c>
      <c r="V180" s="7">
        <v>0.59722222222222221</v>
      </c>
      <c r="W180" s="5">
        <v>44476</v>
      </c>
      <c r="X180" s="7">
        <v>0.59791666666666665</v>
      </c>
      <c r="Y180" s="22">
        <f t="shared" si="19"/>
        <v>7</v>
      </c>
      <c r="Z180" t="s">
        <v>386</v>
      </c>
      <c r="AA180" t="s">
        <v>386</v>
      </c>
      <c r="AB180">
        <v>1</v>
      </c>
      <c r="AC180" t="s">
        <v>66</v>
      </c>
      <c r="AD180" t="s">
        <v>351</v>
      </c>
      <c r="AE180" t="s">
        <v>242</v>
      </c>
      <c r="AF180" t="s">
        <v>67</v>
      </c>
      <c r="AG180" s="20">
        <v>6</v>
      </c>
      <c r="AH180" s="20">
        <v>2</v>
      </c>
      <c r="AI180" s="20">
        <v>10</v>
      </c>
      <c r="AJ180" s="22">
        <v>90</v>
      </c>
      <c r="AK180" s="22">
        <v>0</v>
      </c>
      <c r="AL180" s="22">
        <v>0</v>
      </c>
      <c r="AM180" s="77">
        <f t="shared" si="7"/>
        <v>1</v>
      </c>
      <c r="AN180" s="22" t="s">
        <v>226</v>
      </c>
      <c r="AO180" s="58">
        <v>0.5</v>
      </c>
      <c r="AP180" t="s">
        <v>234</v>
      </c>
      <c r="AQ180" s="22" t="s">
        <v>668</v>
      </c>
      <c r="AR180" t="s">
        <v>159</v>
      </c>
      <c r="AV180" t="s">
        <v>392</v>
      </c>
      <c r="AW180" t="s">
        <v>182</v>
      </c>
      <c r="AX180" t="s">
        <v>182</v>
      </c>
      <c r="AY180" t="s">
        <v>182</v>
      </c>
      <c r="AZ180" s="28"/>
      <c r="BA180" s="28"/>
    </row>
    <row r="181" spans="1:54" x14ac:dyDescent="0.6">
      <c r="A181" s="14" t="str">
        <f t="shared" si="15"/>
        <v>Y</v>
      </c>
      <c r="B181" s="14" t="str">
        <f t="shared" si="16"/>
        <v>Y</v>
      </c>
      <c r="C181" s="14" t="s">
        <v>141</v>
      </c>
      <c r="D181" s="14" t="s">
        <v>63</v>
      </c>
      <c r="E181" s="14" t="s">
        <v>63</v>
      </c>
      <c r="F181" t="str">
        <f t="shared" si="20"/>
        <v>N_N</v>
      </c>
      <c r="G181" s="22">
        <v>97</v>
      </c>
      <c r="H181" t="s">
        <v>373</v>
      </c>
      <c r="I181" s="5">
        <v>44462</v>
      </c>
      <c r="J181" s="7">
        <v>0.53125</v>
      </c>
      <c r="K181" s="20">
        <v>12.5</v>
      </c>
      <c r="L181" s="20">
        <v>12</v>
      </c>
      <c r="M181" s="20">
        <v>20</v>
      </c>
      <c r="N181" t="s">
        <v>108</v>
      </c>
      <c r="O181" t="s">
        <v>168</v>
      </c>
      <c r="P181" s="22">
        <v>27</v>
      </c>
      <c r="Q181" t="s">
        <v>56</v>
      </c>
      <c r="R181" t="s">
        <v>387</v>
      </c>
      <c r="S181" t="s">
        <v>63</v>
      </c>
      <c r="T181">
        <f t="shared" si="18"/>
        <v>7</v>
      </c>
      <c r="U181" s="5">
        <v>44469</v>
      </c>
      <c r="V181" s="7">
        <v>0.59722222222222221</v>
      </c>
      <c r="W181" s="5">
        <v>44476</v>
      </c>
      <c r="X181" s="7">
        <v>0.59791666666666665</v>
      </c>
      <c r="Y181" s="22">
        <f t="shared" si="19"/>
        <v>7</v>
      </c>
      <c r="Z181" t="s">
        <v>386</v>
      </c>
      <c r="AA181" t="s">
        <v>386</v>
      </c>
      <c r="AB181">
        <v>2</v>
      </c>
      <c r="AC181" t="s">
        <v>288</v>
      </c>
      <c r="AD181" t="s">
        <v>288</v>
      </c>
      <c r="AE181" t="s">
        <v>244</v>
      </c>
      <c r="AF181" t="s">
        <v>120</v>
      </c>
      <c r="AG181" s="20">
        <v>13</v>
      </c>
      <c r="AH181" s="20">
        <v>9.5</v>
      </c>
      <c r="AI181" s="20">
        <v>7.5</v>
      </c>
      <c r="AJ181" s="22">
        <v>50</v>
      </c>
      <c r="AK181" s="22">
        <v>0</v>
      </c>
      <c r="AL181" s="22">
        <v>10</v>
      </c>
      <c r="AM181" s="77">
        <f t="shared" si="7"/>
        <v>0.8</v>
      </c>
      <c r="AN181" s="22" t="s">
        <v>226</v>
      </c>
      <c r="AO181" s="58">
        <v>0.5</v>
      </c>
      <c r="AP181" t="s">
        <v>234</v>
      </c>
      <c r="AQ181" s="22" t="s">
        <v>668</v>
      </c>
      <c r="AR181" t="s">
        <v>159</v>
      </c>
      <c r="AV181" t="s">
        <v>392</v>
      </c>
      <c r="AW181" t="s">
        <v>182</v>
      </c>
      <c r="AX181" t="s">
        <v>182</v>
      </c>
      <c r="AY181" t="s">
        <v>182</v>
      </c>
      <c r="AZ181" s="28"/>
      <c r="BA181" s="28"/>
      <c r="BB181" s="20" t="s">
        <v>393</v>
      </c>
    </row>
    <row r="182" spans="1:54" x14ac:dyDescent="0.6">
      <c r="A182" s="14" t="str">
        <f t="shared" si="15"/>
        <v>Y</v>
      </c>
      <c r="B182" s="14" t="str">
        <f t="shared" si="16"/>
        <v>Y</v>
      </c>
      <c r="C182" s="14" t="s">
        <v>141</v>
      </c>
      <c r="D182" s="14" t="s">
        <v>141</v>
      </c>
      <c r="E182" s="14" t="s">
        <v>63</v>
      </c>
      <c r="F182" t="str">
        <f t="shared" si="20"/>
        <v>Y_N</v>
      </c>
      <c r="G182" s="22">
        <v>98</v>
      </c>
      <c r="H182" t="s">
        <v>374</v>
      </c>
      <c r="I182" s="5">
        <v>44462</v>
      </c>
      <c r="J182" s="7">
        <v>0.53125</v>
      </c>
      <c r="K182" s="20">
        <v>12</v>
      </c>
      <c r="L182" s="20">
        <v>10.5</v>
      </c>
      <c r="M182" s="20">
        <v>18</v>
      </c>
      <c r="N182" t="s">
        <v>108</v>
      </c>
      <c r="O182" t="s">
        <v>168</v>
      </c>
      <c r="P182" s="22">
        <v>27</v>
      </c>
      <c r="Q182" t="s">
        <v>56</v>
      </c>
      <c r="R182" t="s">
        <v>199</v>
      </c>
      <c r="S182" s="56" t="s">
        <v>199</v>
      </c>
      <c r="T182">
        <f t="shared" si="18"/>
        <v>7</v>
      </c>
      <c r="U182" s="5">
        <v>44469</v>
      </c>
      <c r="V182" s="7">
        <v>0.59027777777777779</v>
      </c>
      <c r="W182" s="5">
        <v>44476</v>
      </c>
      <c r="X182" s="7">
        <v>0.59652777777777777</v>
      </c>
      <c r="Y182" s="22">
        <f t="shared" si="19"/>
        <v>7</v>
      </c>
      <c r="Z182" t="s">
        <v>386</v>
      </c>
      <c r="AA182" t="s">
        <v>386</v>
      </c>
      <c r="AB182">
        <v>1</v>
      </c>
      <c r="AC182" t="s">
        <v>66</v>
      </c>
      <c r="AD182" t="s">
        <v>351</v>
      </c>
      <c r="AE182" t="s">
        <v>242</v>
      </c>
      <c r="AF182" t="s">
        <v>67</v>
      </c>
      <c r="AG182" s="20">
        <v>5</v>
      </c>
      <c r="AH182" s="20">
        <v>1.5</v>
      </c>
      <c r="AI182" s="20">
        <v>4</v>
      </c>
      <c r="AJ182" s="22">
        <v>90</v>
      </c>
      <c r="AK182" s="22">
        <v>0</v>
      </c>
      <c r="AL182" s="22">
        <v>30</v>
      </c>
      <c r="AM182" s="77">
        <f t="shared" si="7"/>
        <v>0.66666666666666663</v>
      </c>
      <c r="AN182" s="22" t="s">
        <v>246</v>
      </c>
      <c r="AO182" s="58">
        <v>2</v>
      </c>
      <c r="AP182" t="s">
        <v>234</v>
      </c>
      <c r="AQ182" s="22" t="s">
        <v>668</v>
      </c>
      <c r="AR182" t="s">
        <v>66</v>
      </c>
      <c r="AS182" t="s">
        <v>288</v>
      </c>
      <c r="AV182" t="s">
        <v>141</v>
      </c>
      <c r="AW182" t="s">
        <v>394</v>
      </c>
      <c r="AX182" t="s">
        <v>182</v>
      </c>
      <c r="AY182" t="s">
        <v>182</v>
      </c>
      <c r="AZ182" s="28"/>
      <c r="BA182" s="28"/>
    </row>
    <row r="183" spans="1:54" x14ac:dyDescent="0.6">
      <c r="A183" s="14" t="str">
        <f t="shared" si="15"/>
        <v>Y</v>
      </c>
      <c r="B183" s="14" t="str">
        <f t="shared" si="16"/>
        <v>Y</v>
      </c>
      <c r="C183" s="14" t="s">
        <v>141</v>
      </c>
      <c r="D183" s="14" t="s">
        <v>141</v>
      </c>
      <c r="E183" s="14" t="s">
        <v>63</v>
      </c>
      <c r="F183" t="str">
        <f t="shared" si="20"/>
        <v>Y_N</v>
      </c>
      <c r="G183" s="22">
        <v>98</v>
      </c>
      <c r="H183" t="s">
        <v>374</v>
      </c>
      <c r="I183" s="5">
        <v>44462</v>
      </c>
      <c r="J183" s="7">
        <v>0.53125</v>
      </c>
      <c r="K183" s="20">
        <v>12</v>
      </c>
      <c r="L183" s="20">
        <v>10.5</v>
      </c>
      <c r="M183" s="20">
        <v>18</v>
      </c>
      <c r="N183" t="s">
        <v>108</v>
      </c>
      <c r="O183" t="s">
        <v>168</v>
      </c>
      <c r="P183" s="22">
        <v>27</v>
      </c>
      <c r="Q183" t="s">
        <v>56</v>
      </c>
      <c r="R183" t="s">
        <v>199</v>
      </c>
      <c r="S183" s="56" t="s">
        <v>199</v>
      </c>
      <c r="T183">
        <f t="shared" si="18"/>
        <v>7</v>
      </c>
      <c r="U183" s="5">
        <v>44469</v>
      </c>
      <c r="V183" s="7">
        <v>0.59027777777777779</v>
      </c>
      <c r="W183" s="5">
        <v>44476</v>
      </c>
      <c r="X183" s="7">
        <v>0.59652777777777777</v>
      </c>
      <c r="Y183" s="22">
        <f t="shared" si="19"/>
        <v>7</v>
      </c>
      <c r="Z183" t="s">
        <v>386</v>
      </c>
      <c r="AA183" t="s">
        <v>386</v>
      </c>
      <c r="AB183">
        <v>2</v>
      </c>
      <c r="AC183" t="s">
        <v>288</v>
      </c>
      <c r="AD183" t="s">
        <v>288</v>
      </c>
      <c r="AE183" t="s">
        <v>244</v>
      </c>
      <c r="AF183" t="s">
        <v>120</v>
      </c>
      <c r="AG183" s="20">
        <v>11.5</v>
      </c>
      <c r="AH183" s="20">
        <v>4.5</v>
      </c>
      <c r="AI183" s="20">
        <v>5</v>
      </c>
      <c r="AJ183" s="22">
        <v>15</v>
      </c>
      <c r="AK183" s="22">
        <v>0</v>
      </c>
      <c r="AL183" s="22">
        <v>5</v>
      </c>
      <c r="AM183" s="77">
        <f t="shared" si="7"/>
        <v>0.66666666666666663</v>
      </c>
      <c r="AN183" s="22" t="s">
        <v>247</v>
      </c>
      <c r="AO183" s="58">
        <v>1</v>
      </c>
      <c r="AP183" t="s">
        <v>234</v>
      </c>
      <c r="AQ183" s="22" t="s">
        <v>668</v>
      </c>
      <c r="AR183" t="s">
        <v>66</v>
      </c>
      <c r="AS183" t="s">
        <v>288</v>
      </c>
      <c r="AV183" t="s">
        <v>141</v>
      </c>
      <c r="AW183" t="s">
        <v>323</v>
      </c>
      <c r="AX183">
        <v>5</v>
      </c>
      <c r="AY183" t="s">
        <v>395</v>
      </c>
      <c r="AZ183" s="28"/>
      <c r="BA183" s="28"/>
    </row>
    <row r="184" spans="1:54" x14ac:dyDescent="0.6">
      <c r="A184" s="14" t="str">
        <f t="shared" si="15"/>
        <v>Y</v>
      </c>
      <c r="B184" s="14" t="str">
        <f t="shared" si="16"/>
        <v>Y</v>
      </c>
      <c r="C184" s="14" t="s">
        <v>141</v>
      </c>
      <c r="D184" s="14" t="s">
        <v>141</v>
      </c>
      <c r="E184" s="14" t="s">
        <v>63</v>
      </c>
      <c r="F184" t="str">
        <f t="shared" si="20"/>
        <v>Y_N</v>
      </c>
      <c r="G184" s="22">
        <v>99</v>
      </c>
      <c r="H184" t="s">
        <v>49</v>
      </c>
      <c r="I184" s="5">
        <v>44462</v>
      </c>
      <c r="J184" s="7">
        <v>0.53125</v>
      </c>
      <c r="K184" s="20">
        <v>13</v>
      </c>
      <c r="L184" s="20">
        <v>13.5</v>
      </c>
      <c r="M184" s="20">
        <v>24</v>
      </c>
      <c r="N184" t="s">
        <v>108</v>
      </c>
      <c r="O184" t="s">
        <v>168</v>
      </c>
      <c r="P184" s="22">
        <v>32</v>
      </c>
      <c r="Q184" t="s">
        <v>303</v>
      </c>
      <c r="R184" t="s">
        <v>388</v>
      </c>
      <c r="S184" s="56" t="s">
        <v>388</v>
      </c>
      <c r="T184">
        <f t="shared" si="18"/>
        <v>7</v>
      </c>
      <c r="U184" s="5">
        <v>44469</v>
      </c>
      <c r="V184" s="7">
        <v>0.59236111111111112</v>
      </c>
      <c r="W184" s="5">
        <v>44476</v>
      </c>
      <c r="X184" s="7">
        <v>0.59513888888888888</v>
      </c>
      <c r="Y184" s="22">
        <f t="shared" si="19"/>
        <v>7</v>
      </c>
      <c r="Z184" t="s">
        <v>386</v>
      </c>
      <c r="AA184" t="s">
        <v>386</v>
      </c>
      <c r="AB184">
        <v>1</v>
      </c>
      <c r="AC184" t="s">
        <v>66</v>
      </c>
      <c r="AD184" t="s">
        <v>351</v>
      </c>
      <c r="AE184" t="s">
        <v>242</v>
      </c>
      <c r="AF184" t="s">
        <v>67</v>
      </c>
      <c r="AG184" s="20">
        <v>8</v>
      </c>
      <c r="AH184" s="20">
        <v>4.5</v>
      </c>
      <c r="AI184" s="20">
        <v>7.5</v>
      </c>
      <c r="AJ184" s="22">
        <v>90</v>
      </c>
      <c r="AK184" s="22">
        <v>0</v>
      </c>
      <c r="AL184" s="22">
        <v>0</v>
      </c>
      <c r="AM184" s="77">
        <f t="shared" si="7"/>
        <v>1</v>
      </c>
      <c r="AN184" s="22" t="s">
        <v>246</v>
      </c>
      <c r="AO184" s="58">
        <v>2</v>
      </c>
      <c r="AP184" t="s">
        <v>234</v>
      </c>
      <c r="AQ184" s="22" t="s">
        <v>667</v>
      </c>
      <c r="AR184" t="s">
        <v>66</v>
      </c>
      <c r="AT184" t="s">
        <v>288</v>
      </c>
      <c r="AV184" t="s">
        <v>325</v>
      </c>
      <c r="AW184" t="s">
        <v>323</v>
      </c>
      <c r="AX184">
        <v>2</v>
      </c>
      <c r="AY184" t="s">
        <v>396</v>
      </c>
      <c r="AZ184" s="28"/>
      <c r="BA184" s="28"/>
    </row>
    <row r="185" spans="1:54" x14ac:dyDescent="0.6">
      <c r="A185" s="14" t="str">
        <f t="shared" si="15"/>
        <v>Y</v>
      </c>
      <c r="B185" s="14" t="str">
        <f t="shared" si="16"/>
        <v>Y</v>
      </c>
      <c r="C185" s="14" t="s">
        <v>141</v>
      </c>
      <c r="D185" s="14" t="s">
        <v>141</v>
      </c>
      <c r="E185" s="14" t="s">
        <v>63</v>
      </c>
      <c r="F185" t="str">
        <f t="shared" si="20"/>
        <v>Y_N</v>
      </c>
      <c r="G185" s="22">
        <v>99</v>
      </c>
      <c r="H185" t="s">
        <v>49</v>
      </c>
      <c r="I185" s="5">
        <v>44462</v>
      </c>
      <c r="J185" s="7">
        <v>0.53125</v>
      </c>
      <c r="K185" s="20">
        <v>13</v>
      </c>
      <c r="L185" s="20">
        <v>13.5</v>
      </c>
      <c r="M185" s="20">
        <v>24</v>
      </c>
      <c r="N185" t="s">
        <v>108</v>
      </c>
      <c r="O185" t="s">
        <v>168</v>
      </c>
      <c r="P185" s="22">
        <v>32</v>
      </c>
      <c r="Q185" t="s">
        <v>303</v>
      </c>
      <c r="R185" t="s">
        <v>388</v>
      </c>
      <c r="S185" s="56" t="s">
        <v>388</v>
      </c>
      <c r="T185">
        <f t="shared" si="18"/>
        <v>7</v>
      </c>
      <c r="U185" s="5">
        <v>44469</v>
      </c>
      <c r="V185" s="7">
        <v>0.59236111111111112</v>
      </c>
      <c r="W185" s="5">
        <v>44476</v>
      </c>
      <c r="X185" s="7">
        <v>0.59513888888888888</v>
      </c>
      <c r="Y185" s="22">
        <f t="shared" si="19"/>
        <v>7</v>
      </c>
      <c r="Z185" t="s">
        <v>386</v>
      </c>
      <c r="AA185" t="s">
        <v>386</v>
      </c>
      <c r="AB185">
        <v>2</v>
      </c>
      <c r="AC185" t="s">
        <v>288</v>
      </c>
      <c r="AD185" t="s">
        <v>288</v>
      </c>
      <c r="AE185" t="s">
        <v>244</v>
      </c>
      <c r="AF185" t="s">
        <v>120</v>
      </c>
      <c r="AG185" s="20">
        <v>12</v>
      </c>
      <c r="AH185" s="20">
        <v>6</v>
      </c>
      <c r="AI185" s="20">
        <v>8</v>
      </c>
      <c r="AJ185" s="22">
        <v>30</v>
      </c>
      <c r="AK185" s="22">
        <v>0</v>
      </c>
      <c r="AL185" s="22">
        <v>30</v>
      </c>
      <c r="AM185" s="77">
        <f t="shared" si="7"/>
        <v>0</v>
      </c>
      <c r="AN185" s="22" t="s">
        <v>245</v>
      </c>
      <c r="AO185" s="58">
        <v>0</v>
      </c>
      <c r="AP185" t="s">
        <v>233</v>
      </c>
      <c r="AQ185" s="22" t="s">
        <v>667</v>
      </c>
      <c r="AR185" t="s">
        <v>66</v>
      </c>
      <c r="AT185" t="s">
        <v>288</v>
      </c>
      <c r="AV185" t="s">
        <v>325</v>
      </c>
      <c r="AW185" t="s">
        <v>182</v>
      </c>
      <c r="AX185" t="s">
        <v>182</v>
      </c>
      <c r="AY185" t="s">
        <v>182</v>
      </c>
      <c r="AZ185" s="28"/>
      <c r="BA185" s="28"/>
      <c r="BB185" s="20" t="s">
        <v>391</v>
      </c>
    </row>
    <row r="186" spans="1:54" x14ac:dyDescent="0.6">
      <c r="A186" s="14" t="str">
        <f t="shared" si="15"/>
        <v>Y</v>
      </c>
      <c r="B186" s="14" t="str">
        <f t="shared" si="16"/>
        <v>Y</v>
      </c>
      <c r="C186" s="14" t="s">
        <v>141</v>
      </c>
      <c r="D186" s="14" t="s">
        <v>141</v>
      </c>
      <c r="E186" s="14" t="s">
        <v>63</v>
      </c>
      <c r="F186" t="str">
        <f t="shared" si="20"/>
        <v>Y_N</v>
      </c>
      <c r="G186" s="22">
        <v>100</v>
      </c>
      <c r="H186" t="s">
        <v>260</v>
      </c>
      <c r="I186" s="5">
        <v>44462</v>
      </c>
      <c r="J186" s="7">
        <v>0.53125</v>
      </c>
      <c r="K186" s="20">
        <v>12.5</v>
      </c>
      <c r="L186" s="20">
        <v>13</v>
      </c>
      <c r="M186" s="20">
        <v>21</v>
      </c>
      <c r="N186" t="s">
        <v>108</v>
      </c>
      <c r="O186" t="s">
        <v>168</v>
      </c>
      <c r="P186" s="22">
        <v>31</v>
      </c>
      <c r="Q186" t="s">
        <v>56</v>
      </c>
      <c r="R186" t="s">
        <v>389</v>
      </c>
      <c r="S186" t="s">
        <v>63</v>
      </c>
      <c r="T186">
        <f t="shared" si="18"/>
        <v>7</v>
      </c>
      <c r="U186" s="5">
        <v>44469</v>
      </c>
      <c r="V186" s="7">
        <v>0.57986111111111105</v>
      </c>
      <c r="W186" s="5">
        <v>44476</v>
      </c>
      <c r="X186" s="7">
        <v>0.59375</v>
      </c>
      <c r="Y186" s="22">
        <f t="shared" si="19"/>
        <v>7</v>
      </c>
      <c r="Z186" t="s">
        <v>390</v>
      </c>
      <c r="AA186" t="s">
        <v>390</v>
      </c>
      <c r="AB186">
        <v>1</v>
      </c>
      <c r="AC186" t="s">
        <v>66</v>
      </c>
      <c r="AD186" t="s">
        <v>351</v>
      </c>
      <c r="AE186" t="s">
        <v>242</v>
      </c>
      <c r="AF186" t="s">
        <v>67</v>
      </c>
      <c r="AG186" s="20">
        <v>6.5</v>
      </c>
      <c r="AH186" s="20">
        <v>10</v>
      </c>
      <c r="AI186" s="20">
        <v>7.5</v>
      </c>
      <c r="AJ186" s="22">
        <v>35</v>
      </c>
      <c r="AK186" s="22">
        <v>0</v>
      </c>
      <c r="AL186" s="22">
        <v>0</v>
      </c>
      <c r="AM186" s="77">
        <f t="shared" si="7"/>
        <v>1</v>
      </c>
      <c r="AN186" s="22" t="s">
        <v>247</v>
      </c>
      <c r="AO186" s="58">
        <v>1</v>
      </c>
      <c r="AP186" t="s">
        <v>234</v>
      </c>
      <c r="AQ186" s="22" t="s">
        <v>668</v>
      </c>
      <c r="AR186" t="s">
        <v>284</v>
      </c>
      <c r="AS186" t="s">
        <v>66</v>
      </c>
      <c r="AV186" t="s">
        <v>141</v>
      </c>
      <c r="AW186" t="s">
        <v>323</v>
      </c>
      <c r="AX186">
        <v>1</v>
      </c>
      <c r="AY186" s="30" t="s">
        <v>397</v>
      </c>
      <c r="AZ186" s="37"/>
      <c r="BA186" s="37"/>
    </row>
    <row r="187" spans="1:54" x14ac:dyDescent="0.6">
      <c r="A187" s="14" t="str">
        <f t="shared" si="15"/>
        <v>Y</v>
      </c>
      <c r="B187" s="14" t="str">
        <f t="shared" si="16"/>
        <v>Y</v>
      </c>
      <c r="C187" s="14" t="s">
        <v>141</v>
      </c>
      <c r="D187" s="14" t="s">
        <v>141</v>
      </c>
      <c r="E187" s="14" t="s">
        <v>63</v>
      </c>
      <c r="F187" t="str">
        <f t="shared" si="20"/>
        <v>Y_N</v>
      </c>
      <c r="G187" s="22">
        <v>100</v>
      </c>
      <c r="H187" t="s">
        <v>260</v>
      </c>
      <c r="I187" s="5">
        <v>44462</v>
      </c>
      <c r="J187" s="7">
        <v>0.53125</v>
      </c>
      <c r="K187" s="20">
        <v>12.5</v>
      </c>
      <c r="L187" s="20">
        <v>13</v>
      </c>
      <c r="M187" s="20">
        <v>21</v>
      </c>
      <c r="N187" t="s">
        <v>108</v>
      </c>
      <c r="O187" t="s">
        <v>168</v>
      </c>
      <c r="P187" s="22">
        <v>31</v>
      </c>
      <c r="Q187" t="s">
        <v>56</v>
      </c>
      <c r="R187" t="s">
        <v>389</v>
      </c>
      <c r="S187" t="s">
        <v>63</v>
      </c>
      <c r="T187">
        <f t="shared" si="18"/>
        <v>7</v>
      </c>
      <c r="U187" s="5">
        <v>44469</v>
      </c>
      <c r="V187" s="7">
        <v>0.57986111111111105</v>
      </c>
      <c r="W187" s="5">
        <v>44476</v>
      </c>
      <c r="X187" s="7">
        <v>0.59375</v>
      </c>
      <c r="Y187" s="22">
        <f t="shared" si="19"/>
        <v>7</v>
      </c>
      <c r="Z187" t="s">
        <v>390</v>
      </c>
      <c r="AA187" t="s">
        <v>390</v>
      </c>
      <c r="AB187">
        <v>2</v>
      </c>
      <c r="AC187" t="s">
        <v>284</v>
      </c>
      <c r="AD187" t="s">
        <v>284</v>
      </c>
      <c r="AE187" t="s">
        <v>244</v>
      </c>
      <c r="AF187" t="s">
        <v>120</v>
      </c>
      <c r="AG187" s="20">
        <v>8</v>
      </c>
      <c r="AH187" s="20">
        <v>7</v>
      </c>
      <c r="AI187" s="20">
        <v>3.5</v>
      </c>
      <c r="AJ187" s="22">
        <v>85</v>
      </c>
      <c r="AK187" s="22">
        <v>0</v>
      </c>
      <c r="AL187" s="22">
        <v>5</v>
      </c>
      <c r="AM187" s="77">
        <f t="shared" si="7"/>
        <v>0.94117647058823528</v>
      </c>
      <c r="AN187" s="22" t="s">
        <v>246</v>
      </c>
      <c r="AO187" s="58">
        <v>2</v>
      </c>
      <c r="AP187" t="s">
        <v>234</v>
      </c>
      <c r="AQ187" s="22" t="s">
        <v>668</v>
      </c>
      <c r="AR187" t="s">
        <v>284</v>
      </c>
      <c r="AS187" t="s">
        <v>66</v>
      </c>
      <c r="AV187" t="s">
        <v>141</v>
      </c>
      <c r="AW187" t="s">
        <v>323</v>
      </c>
      <c r="AX187">
        <v>13</v>
      </c>
      <c r="AY187" t="s">
        <v>398</v>
      </c>
      <c r="AZ187" s="28"/>
      <c r="BA187" s="28"/>
    </row>
    <row r="188" spans="1:54" ht="17.05" customHeight="1" x14ac:dyDescent="0.6">
      <c r="A188" s="14" t="str">
        <f t="shared" si="15"/>
        <v>N</v>
      </c>
      <c r="B188" s="14" t="str">
        <f t="shared" si="16"/>
        <v>Y</v>
      </c>
      <c r="C188" s="14" t="s">
        <v>141</v>
      </c>
      <c r="D188" s="14" t="s">
        <v>141</v>
      </c>
      <c r="E188" s="14" t="s">
        <v>63</v>
      </c>
      <c r="F188" t="str">
        <f t="shared" si="20"/>
        <v>Y_N</v>
      </c>
      <c r="G188" s="22">
        <v>101</v>
      </c>
      <c r="H188" t="s">
        <v>250</v>
      </c>
      <c r="I188" s="5">
        <v>44476</v>
      </c>
      <c r="J188" s="7">
        <v>0.65625</v>
      </c>
      <c r="K188" s="20">
        <v>13</v>
      </c>
      <c r="L188" s="20">
        <v>13.5</v>
      </c>
      <c r="M188" s="20">
        <v>20</v>
      </c>
      <c r="N188" t="s">
        <v>89</v>
      </c>
      <c r="O188" t="s">
        <v>399</v>
      </c>
      <c r="P188" s="22">
        <v>42</v>
      </c>
      <c r="Q188" t="s">
        <v>262</v>
      </c>
      <c r="R188" t="s">
        <v>400</v>
      </c>
      <c r="S188" s="56" t="s">
        <v>400</v>
      </c>
      <c r="T188">
        <f t="shared" si="18"/>
        <v>8</v>
      </c>
      <c r="U188" s="5">
        <v>44484</v>
      </c>
      <c r="V188" s="7">
        <v>0.47361111111111115</v>
      </c>
      <c r="W188" s="5">
        <v>44491</v>
      </c>
      <c r="X188" s="7">
        <v>0.38541666666666669</v>
      </c>
      <c r="Y188" s="22">
        <f t="shared" si="19"/>
        <v>7</v>
      </c>
      <c r="Z188" t="s">
        <v>401</v>
      </c>
      <c r="AA188" t="s">
        <v>401</v>
      </c>
      <c r="AB188">
        <v>1</v>
      </c>
      <c r="AC188" t="s">
        <v>66</v>
      </c>
      <c r="AD188" t="s">
        <v>351</v>
      </c>
      <c r="AE188" t="s">
        <v>244</v>
      </c>
      <c r="AF188" t="s">
        <v>67</v>
      </c>
      <c r="AG188" s="20">
        <v>6.5</v>
      </c>
      <c r="AH188" s="20">
        <v>4</v>
      </c>
      <c r="AI188" s="20">
        <v>5</v>
      </c>
      <c r="AJ188" s="22">
        <v>85</v>
      </c>
      <c r="AK188" s="22">
        <v>0</v>
      </c>
      <c r="AL188" s="22">
        <v>0</v>
      </c>
      <c r="AM188" s="77">
        <f t="shared" si="7"/>
        <v>1</v>
      </c>
      <c r="AN188" s="22" t="s">
        <v>247</v>
      </c>
      <c r="AO188" s="58">
        <v>1</v>
      </c>
      <c r="AP188" t="s">
        <v>234</v>
      </c>
      <c r="AQ188" s="22" t="s">
        <v>668</v>
      </c>
      <c r="AR188" t="s">
        <v>287</v>
      </c>
      <c r="AS188" t="s">
        <v>66</v>
      </c>
      <c r="AV188" t="s">
        <v>141</v>
      </c>
      <c r="AW188" t="s">
        <v>323</v>
      </c>
      <c r="AX188">
        <v>1</v>
      </c>
      <c r="AY188" t="s">
        <v>437</v>
      </c>
      <c r="AZ188" s="28"/>
      <c r="BA188" s="28"/>
    </row>
    <row r="189" spans="1:54" x14ac:dyDescent="0.6">
      <c r="A189" s="14" t="str">
        <f t="shared" si="15"/>
        <v>N</v>
      </c>
      <c r="B189" s="14" t="str">
        <f t="shared" si="16"/>
        <v>Y</v>
      </c>
      <c r="C189" s="14" t="s">
        <v>141</v>
      </c>
      <c r="D189" s="14" t="s">
        <v>141</v>
      </c>
      <c r="E189" s="14" t="s">
        <v>63</v>
      </c>
      <c r="F189" t="str">
        <f t="shared" si="20"/>
        <v>Y_N</v>
      </c>
      <c r="G189" s="22">
        <v>101</v>
      </c>
      <c r="H189" t="s">
        <v>250</v>
      </c>
      <c r="I189" s="5">
        <v>44476</v>
      </c>
      <c r="J189" s="7">
        <v>0.65625</v>
      </c>
      <c r="K189" s="20">
        <v>13</v>
      </c>
      <c r="L189" s="20">
        <v>13.5</v>
      </c>
      <c r="M189" s="20">
        <v>20</v>
      </c>
      <c r="N189" t="s">
        <v>89</v>
      </c>
      <c r="O189" t="s">
        <v>399</v>
      </c>
      <c r="P189" s="22">
        <v>42</v>
      </c>
      <c r="Q189" t="s">
        <v>262</v>
      </c>
      <c r="R189" t="s">
        <v>400</v>
      </c>
      <c r="S189" s="56" t="s">
        <v>400</v>
      </c>
      <c r="T189">
        <f t="shared" si="18"/>
        <v>8</v>
      </c>
      <c r="U189" s="5">
        <v>44484</v>
      </c>
      <c r="V189" s="7">
        <v>0.47361111111111115</v>
      </c>
      <c r="W189" s="5">
        <v>44491</v>
      </c>
      <c r="X189" s="7">
        <v>0.38541666666666669</v>
      </c>
      <c r="Y189" s="22">
        <f t="shared" si="19"/>
        <v>7</v>
      </c>
      <c r="Z189" t="s">
        <v>401</v>
      </c>
      <c r="AA189" t="s">
        <v>401</v>
      </c>
      <c r="AB189">
        <v>2</v>
      </c>
      <c r="AC189" t="s">
        <v>287</v>
      </c>
      <c r="AD189" t="s">
        <v>287</v>
      </c>
      <c r="AE189" t="s">
        <v>242</v>
      </c>
      <c r="AF189" t="s">
        <v>402</v>
      </c>
      <c r="AG189" s="20">
        <v>8.5</v>
      </c>
      <c r="AH189" s="20">
        <v>2</v>
      </c>
      <c r="AI189" s="20">
        <v>8.5</v>
      </c>
      <c r="AJ189" s="22">
        <v>30</v>
      </c>
      <c r="AK189" s="22">
        <v>0</v>
      </c>
      <c r="AL189" s="22">
        <v>0</v>
      </c>
      <c r="AM189" s="77">
        <f t="shared" si="7"/>
        <v>1</v>
      </c>
      <c r="AN189" s="22" t="s">
        <v>246</v>
      </c>
      <c r="AO189" s="58">
        <v>2</v>
      </c>
      <c r="AP189" t="s">
        <v>234</v>
      </c>
      <c r="AQ189" s="22" t="s">
        <v>668</v>
      </c>
      <c r="AR189" t="s">
        <v>287</v>
      </c>
      <c r="AS189" t="s">
        <v>66</v>
      </c>
      <c r="AV189" t="s">
        <v>141</v>
      </c>
      <c r="AW189" t="s">
        <v>438</v>
      </c>
      <c r="AX189" t="s">
        <v>182</v>
      </c>
      <c r="AY189" t="s">
        <v>182</v>
      </c>
      <c r="AZ189" s="28"/>
      <c r="BA189" s="28"/>
    </row>
    <row r="190" spans="1:54" x14ac:dyDescent="0.6">
      <c r="A190" s="14" t="str">
        <f t="shared" si="15"/>
        <v>N</v>
      </c>
      <c r="B190" s="14" t="str">
        <f t="shared" si="16"/>
        <v>Y</v>
      </c>
      <c r="C190" s="14" t="s">
        <v>141</v>
      </c>
      <c r="D190" s="14" t="s">
        <v>63</v>
      </c>
      <c r="E190" s="14" t="s">
        <v>141</v>
      </c>
      <c r="F190" t="str">
        <f t="shared" si="20"/>
        <v>N_Y</v>
      </c>
      <c r="G190" s="22">
        <v>102</v>
      </c>
      <c r="H190" t="s">
        <v>373</v>
      </c>
      <c r="I190" s="5">
        <v>44476</v>
      </c>
      <c r="J190" s="7">
        <v>0.65625</v>
      </c>
      <c r="K190" s="20">
        <v>10</v>
      </c>
      <c r="L190" s="20">
        <v>10.5</v>
      </c>
      <c r="M190" s="20">
        <v>16</v>
      </c>
      <c r="N190" t="s">
        <v>89</v>
      </c>
      <c r="O190" t="s">
        <v>403</v>
      </c>
      <c r="P190" s="22">
        <v>30</v>
      </c>
      <c r="Q190" t="s">
        <v>56</v>
      </c>
      <c r="R190" t="s">
        <v>404</v>
      </c>
      <c r="S190" t="s">
        <v>63</v>
      </c>
      <c r="T190">
        <f t="shared" si="18"/>
        <v>8</v>
      </c>
      <c r="U190" s="5">
        <v>44484</v>
      </c>
      <c r="V190" s="7">
        <v>0.41250000000000003</v>
      </c>
      <c r="W190" s="5">
        <v>44491</v>
      </c>
      <c r="X190" s="7">
        <v>0.38680555555555557</v>
      </c>
      <c r="Y190" s="22">
        <f t="shared" si="19"/>
        <v>7</v>
      </c>
      <c r="Z190" t="s">
        <v>405</v>
      </c>
      <c r="AA190" t="s">
        <v>405</v>
      </c>
      <c r="AB190">
        <v>1</v>
      </c>
      <c r="AC190" t="s">
        <v>119</v>
      </c>
      <c r="AD190" t="s">
        <v>119</v>
      </c>
      <c r="AE190" t="s">
        <v>244</v>
      </c>
      <c r="AF190" t="s">
        <v>120</v>
      </c>
      <c r="AG190" s="20">
        <v>6.5</v>
      </c>
      <c r="AH190" s="20">
        <v>6.5</v>
      </c>
      <c r="AI190" s="20">
        <v>2.5</v>
      </c>
      <c r="AJ190" s="22">
        <v>45</v>
      </c>
      <c r="AK190" s="22">
        <v>0</v>
      </c>
      <c r="AL190" s="22">
        <v>45</v>
      </c>
      <c r="AM190" s="77">
        <f t="shared" si="7"/>
        <v>0</v>
      </c>
      <c r="AN190" s="22" t="s">
        <v>245</v>
      </c>
      <c r="AO190" s="58">
        <v>0</v>
      </c>
      <c r="AP190" t="s">
        <v>233</v>
      </c>
      <c r="AQ190" s="22" t="s">
        <v>669</v>
      </c>
      <c r="AT190" t="s">
        <v>119</v>
      </c>
      <c r="AU190" t="s">
        <v>98</v>
      </c>
      <c r="AV190" t="s">
        <v>324</v>
      </c>
      <c r="AW190" t="s">
        <v>182</v>
      </c>
      <c r="AX190" t="s">
        <v>182</v>
      </c>
      <c r="AY190" t="s">
        <v>182</v>
      </c>
      <c r="AZ190" s="28"/>
      <c r="BA190" s="28"/>
    </row>
    <row r="191" spans="1:54" x14ac:dyDescent="0.6">
      <c r="A191" s="14" t="str">
        <f t="shared" si="15"/>
        <v>N</v>
      </c>
      <c r="B191" s="14" t="str">
        <f t="shared" si="16"/>
        <v>Y</v>
      </c>
      <c r="C191" s="14" t="s">
        <v>141</v>
      </c>
      <c r="D191" s="14" t="s">
        <v>63</v>
      </c>
      <c r="E191" s="14" t="s">
        <v>141</v>
      </c>
      <c r="F191" t="str">
        <f t="shared" si="20"/>
        <v>N_Y</v>
      </c>
      <c r="G191" s="22">
        <v>102</v>
      </c>
      <c r="H191" t="s">
        <v>373</v>
      </c>
      <c r="I191" s="5">
        <v>44476</v>
      </c>
      <c r="J191" s="7">
        <v>0.65625</v>
      </c>
      <c r="K191" s="20">
        <v>10</v>
      </c>
      <c r="L191" s="20">
        <v>10.5</v>
      </c>
      <c r="M191" s="20">
        <v>16</v>
      </c>
      <c r="N191" t="s">
        <v>89</v>
      </c>
      <c r="O191" t="s">
        <v>403</v>
      </c>
      <c r="P191" s="22">
        <v>30</v>
      </c>
      <c r="Q191" t="s">
        <v>56</v>
      </c>
      <c r="R191" t="s">
        <v>404</v>
      </c>
      <c r="S191" t="s">
        <v>63</v>
      </c>
      <c r="T191">
        <f t="shared" si="18"/>
        <v>8</v>
      </c>
      <c r="U191" s="5">
        <v>44484</v>
      </c>
      <c r="V191" s="7">
        <v>0.41250000000000003</v>
      </c>
      <c r="W191" s="5">
        <v>44491</v>
      </c>
      <c r="X191" s="7">
        <v>0.38680555555555557</v>
      </c>
      <c r="Y191" s="22">
        <f t="shared" si="19"/>
        <v>7</v>
      </c>
      <c r="Z191" t="s">
        <v>405</v>
      </c>
      <c r="AA191" t="s">
        <v>405</v>
      </c>
      <c r="AB191">
        <v>2</v>
      </c>
      <c r="AC191" t="s">
        <v>98</v>
      </c>
      <c r="AD191" t="s">
        <v>98</v>
      </c>
      <c r="AE191" t="s">
        <v>242</v>
      </c>
      <c r="AF191" t="s">
        <v>97</v>
      </c>
      <c r="AG191" s="20">
        <v>7.5</v>
      </c>
      <c r="AH191" s="20">
        <v>5.5</v>
      </c>
      <c r="AI191" s="20">
        <v>2</v>
      </c>
      <c r="AJ191" s="22">
        <v>95</v>
      </c>
      <c r="AK191" s="22">
        <v>0</v>
      </c>
      <c r="AL191" s="22">
        <v>95</v>
      </c>
      <c r="AM191" s="77">
        <f t="shared" si="7"/>
        <v>0</v>
      </c>
      <c r="AN191" s="22" t="s">
        <v>245</v>
      </c>
      <c r="AO191" s="58">
        <v>0</v>
      </c>
      <c r="AP191" t="s">
        <v>233</v>
      </c>
      <c r="AQ191" s="22" t="s">
        <v>669</v>
      </c>
      <c r="AT191" t="s">
        <v>119</v>
      </c>
      <c r="AU191" t="s">
        <v>98</v>
      </c>
      <c r="AV191" t="s">
        <v>324</v>
      </c>
      <c r="AW191" t="s">
        <v>182</v>
      </c>
      <c r="AX191" t="s">
        <v>182</v>
      </c>
      <c r="AY191" t="s">
        <v>182</v>
      </c>
      <c r="AZ191" s="28"/>
      <c r="BA191" s="28"/>
    </row>
    <row r="192" spans="1:54" x14ac:dyDescent="0.6">
      <c r="A192" s="14" t="str">
        <f t="shared" si="15"/>
        <v>N</v>
      </c>
      <c r="B192" s="14" t="str">
        <f t="shared" si="16"/>
        <v>Y</v>
      </c>
      <c r="C192" s="14" t="s">
        <v>141</v>
      </c>
      <c r="D192" s="14" t="s">
        <v>141</v>
      </c>
      <c r="E192" s="14" t="s">
        <v>63</v>
      </c>
      <c r="F192" t="str">
        <f>D192&amp;"_"&amp;E192</f>
        <v>Y_N</v>
      </c>
      <c r="G192" s="22">
        <v>103</v>
      </c>
      <c r="H192" t="s">
        <v>374</v>
      </c>
      <c r="I192" s="5">
        <v>44476</v>
      </c>
      <c r="J192" s="7">
        <v>0.65625</v>
      </c>
      <c r="K192" s="20">
        <v>12.5</v>
      </c>
      <c r="L192" s="20">
        <v>12.5</v>
      </c>
      <c r="M192" s="20">
        <v>19</v>
      </c>
      <c r="N192" t="s">
        <v>88</v>
      </c>
      <c r="O192" t="s">
        <v>154</v>
      </c>
      <c r="P192" s="22">
        <v>19</v>
      </c>
      <c r="Q192" t="s">
        <v>162</v>
      </c>
      <c r="R192" t="s">
        <v>406</v>
      </c>
      <c r="S192" t="s">
        <v>63</v>
      </c>
      <c r="T192">
        <f t="shared" si="18"/>
        <v>8</v>
      </c>
      <c r="U192" s="5">
        <v>44484</v>
      </c>
      <c r="V192" s="7">
        <v>0.41944444444444445</v>
      </c>
      <c r="W192" s="5">
        <v>44491</v>
      </c>
      <c r="X192" s="7">
        <v>0.38819444444444445</v>
      </c>
      <c r="Y192" s="22">
        <f t="shared" si="19"/>
        <v>7</v>
      </c>
      <c r="Z192" t="s">
        <v>401</v>
      </c>
      <c r="AA192" t="s">
        <v>401</v>
      </c>
      <c r="AB192">
        <v>1</v>
      </c>
      <c r="AC192" t="s">
        <v>66</v>
      </c>
      <c r="AD192" t="s">
        <v>351</v>
      </c>
      <c r="AE192" t="s">
        <v>242</v>
      </c>
      <c r="AF192" t="s">
        <v>67</v>
      </c>
      <c r="AG192" s="20">
        <v>7</v>
      </c>
      <c r="AH192" s="20">
        <v>4</v>
      </c>
      <c r="AI192" s="20">
        <v>4.5</v>
      </c>
      <c r="AJ192" s="22">
        <v>30</v>
      </c>
      <c r="AK192" s="22">
        <v>0</v>
      </c>
      <c r="AL192" s="22">
        <v>0</v>
      </c>
      <c r="AM192" s="77">
        <f t="shared" si="7"/>
        <v>1</v>
      </c>
      <c r="AN192" s="22" t="s">
        <v>247</v>
      </c>
      <c r="AO192" s="58">
        <v>1</v>
      </c>
      <c r="AP192" t="s">
        <v>234</v>
      </c>
      <c r="AQ192" s="22" t="s">
        <v>668</v>
      </c>
      <c r="AR192" t="s">
        <v>287</v>
      </c>
      <c r="AS192" t="s">
        <v>66</v>
      </c>
      <c r="AV192" t="s">
        <v>141</v>
      </c>
      <c r="AW192" t="s">
        <v>438</v>
      </c>
      <c r="AX192" t="s">
        <v>182</v>
      </c>
      <c r="AY192" t="s">
        <v>182</v>
      </c>
      <c r="AZ192" s="28"/>
      <c r="BA192" s="28"/>
    </row>
    <row r="193" spans="1:54" x14ac:dyDescent="0.6">
      <c r="A193" s="14" t="str">
        <f t="shared" si="15"/>
        <v>N</v>
      </c>
      <c r="B193" s="14" t="str">
        <f t="shared" si="16"/>
        <v>Y</v>
      </c>
      <c r="C193" s="14" t="s">
        <v>141</v>
      </c>
      <c r="D193" s="14" t="s">
        <v>141</v>
      </c>
      <c r="E193" s="14" t="s">
        <v>63</v>
      </c>
      <c r="F193" t="str">
        <f t="shared" ref="F193:F224" si="21">D193&amp;"_"&amp;E193</f>
        <v>Y_N</v>
      </c>
      <c r="G193" s="22">
        <v>103</v>
      </c>
      <c r="H193" t="s">
        <v>374</v>
      </c>
      <c r="I193" s="5">
        <v>44476</v>
      </c>
      <c r="J193" s="7">
        <v>0.65625</v>
      </c>
      <c r="K193" s="20">
        <v>12.5</v>
      </c>
      <c r="L193" s="20">
        <v>12.5</v>
      </c>
      <c r="M193" s="20">
        <v>19</v>
      </c>
      <c r="N193" t="s">
        <v>88</v>
      </c>
      <c r="O193" t="s">
        <v>154</v>
      </c>
      <c r="P193" s="22">
        <v>19</v>
      </c>
      <c r="Q193" t="s">
        <v>162</v>
      </c>
      <c r="R193" t="s">
        <v>406</v>
      </c>
      <c r="S193" t="s">
        <v>63</v>
      </c>
      <c r="T193">
        <f t="shared" si="18"/>
        <v>8</v>
      </c>
      <c r="U193" s="5">
        <v>44484</v>
      </c>
      <c r="V193" s="7">
        <v>0.41944444444444445</v>
      </c>
      <c r="W193" s="5">
        <v>44491</v>
      </c>
      <c r="X193" s="7">
        <v>0.38819444444444445</v>
      </c>
      <c r="Y193" s="22">
        <f t="shared" si="19"/>
        <v>7</v>
      </c>
      <c r="Z193" t="s">
        <v>401</v>
      </c>
      <c r="AA193" t="s">
        <v>401</v>
      </c>
      <c r="AB193">
        <v>2</v>
      </c>
      <c r="AC193" t="s">
        <v>287</v>
      </c>
      <c r="AD193" t="s">
        <v>287</v>
      </c>
      <c r="AE193" t="s">
        <v>244</v>
      </c>
      <c r="AF193" t="s">
        <v>402</v>
      </c>
      <c r="AG193" s="20">
        <v>5</v>
      </c>
      <c r="AH193" s="20">
        <v>2</v>
      </c>
      <c r="AI193" s="20">
        <v>5.5</v>
      </c>
      <c r="AJ193" s="22">
        <v>90</v>
      </c>
      <c r="AK193" s="22">
        <v>0</v>
      </c>
      <c r="AL193" s="22">
        <v>0</v>
      </c>
      <c r="AM193" s="77">
        <f t="shared" si="7"/>
        <v>1</v>
      </c>
      <c r="AN193" s="22" t="s">
        <v>246</v>
      </c>
      <c r="AO193" s="58">
        <v>2</v>
      </c>
      <c r="AP193" t="s">
        <v>234</v>
      </c>
      <c r="AQ193" s="22" t="s">
        <v>668</v>
      </c>
      <c r="AR193" t="s">
        <v>287</v>
      </c>
      <c r="AS193" t="s">
        <v>66</v>
      </c>
      <c r="AV193" t="s">
        <v>141</v>
      </c>
      <c r="AW193" t="s">
        <v>323</v>
      </c>
      <c r="AX193">
        <v>1</v>
      </c>
      <c r="AY193" t="s">
        <v>437</v>
      </c>
      <c r="AZ193" s="28"/>
      <c r="BA193" s="28"/>
    </row>
    <row r="194" spans="1:54" x14ac:dyDescent="0.6">
      <c r="A194" s="14" t="str">
        <f t="shared" si="15"/>
        <v>N</v>
      </c>
      <c r="B194" s="14" t="str">
        <f t="shared" si="16"/>
        <v>Y</v>
      </c>
      <c r="C194" s="14" t="s">
        <v>141</v>
      </c>
      <c r="D194" s="14" t="s">
        <v>141</v>
      </c>
      <c r="E194" s="14" t="s">
        <v>63</v>
      </c>
      <c r="F194" t="str">
        <f t="shared" si="21"/>
        <v>Y_N</v>
      </c>
      <c r="G194" s="22">
        <v>104</v>
      </c>
      <c r="H194" t="s">
        <v>49</v>
      </c>
      <c r="I194" s="5">
        <v>44476</v>
      </c>
      <c r="J194" s="7">
        <v>0.65625</v>
      </c>
      <c r="K194" s="20">
        <v>12.5</v>
      </c>
      <c r="L194" s="20">
        <v>13</v>
      </c>
      <c r="M194" s="20">
        <v>20</v>
      </c>
      <c r="N194" t="s">
        <v>89</v>
      </c>
      <c r="O194" t="s">
        <v>399</v>
      </c>
      <c r="P194" s="22">
        <v>42</v>
      </c>
      <c r="Q194" t="s">
        <v>56</v>
      </c>
      <c r="R194" t="s">
        <v>407</v>
      </c>
      <c r="S194" t="s">
        <v>63</v>
      </c>
      <c r="T194">
        <f t="shared" si="18"/>
        <v>8</v>
      </c>
      <c r="U194" s="5">
        <v>44484</v>
      </c>
      <c r="V194" s="7">
        <v>0.42291666666666666</v>
      </c>
      <c r="W194" s="5">
        <v>44491</v>
      </c>
      <c r="X194" s="7">
        <v>0.38958333333333334</v>
      </c>
      <c r="Y194" s="22">
        <f t="shared" si="19"/>
        <v>7</v>
      </c>
      <c r="Z194" t="s">
        <v>386</v>
      </c>
      <c r="AA194" t="s">
        <v>386</v>
      </c>
      <c r="AB194">
        <v>1</v>
      </c>
      <c r="AC194" t="s">
        <v>66</v>
      </c>
      <c r="AD194" t="s">
        <v>351</v>
      </c>
      <c r="AE194" t="s">
        <v>244</v>
      </c>
      <c r="AF194" t="s">
        <v>67</v>
      </c>
      <c r="AG194" s="20">
        <v>5</v>
      </c>
      <c r="AH194" s="20">
        <v>1</v>
      </c>
      <c r="AI194" s="20">
        <v>3.5</v>
      </c>
      <c r="AJ194" s="22">
        <v>95</v>
      </c>
      <c r="AK194" s="22">
        <v>0</v>
      </c>
      <c r="AL194" s="22">
        <v>0</v>
      </c>
      <c r="AM194" s="77">
        <f t="shared" si="7"/>
        <v>1</v>
      </c>
      <c r="AN194" s="22" t="s">
        <v>226</v>
      </c>
      <c r="AO194" s="58">
        <v>0.5</v>
      </c>
      <c r="AP194" t="s">
        <v>234</v>
      </c>
      <c r="AQ194" s="22" t="s">
        <v>668</v>
      </c>
      <c r="AR194" t="s">
        <v>159</v>
      </c>
      <c r="AV194" t="s">
        <v>226</v>
      </c>
      <c r="AW194" t="s">
        <v>182</v>
      </c>
      <c r="AX194" t="s">
        <v>182</v>
      </c>
      <c r="AY194" t="s">
        <v>182</v>
      </c>
      <c r="AZ194" s="28"/>
      <c r="BA194" s="28"/>
    </row>
    <row r="195" spans="1:54" x14ac:dyDescent="0.6">
      <c r="A195" s="14" t="str">
        <f t="shared" ref="A195:A258" si="22">IF(T195=7, "Y", "N")</f>
        <v>N</v>
      </c>
      <c r="B195" s="14" t="str">
        <f t="shared" ref="B195:B258" si="23">IF(Y195=7, "Y", "N")</f>
        <v>Y</v>
      </c>
      <c r="C195" s="14" t="s">
        <v>141</v>
      </c>
      <c r="D195" s="14" t="s">
        <v>141</v>
      </c>
      <c r="E195" s="14" t="s">
        <v>63</v>
      </c>
      <c r="F195" t="str">
        <f t="shared" si="21"/>
        <v>Y_N</v>
      </c>
      <c r="G195" s="22">
        <v>104</v>
      </c>
      <c r="H195" t="s">
        <v>49</v>
      </c>
      <c r="I195" s="5">
        <v>44476</v>
      </c>
      <c r="J195" s="7">
        <v>0.65625</v>
      </c>
      <c r="K195" s="20">
        <v>12.5</v>
      </c>
      <c r="L195" s="20">
        <v>13</v>
      </c>
      <c r="M195" s="20">
        <v>20</v>
      </c>
      <c r="N195" t="s">
        <v>89</v>
      </c>
      <c r="O195" t="s">
        <v>399</v>
      </c>
      <c r="P195" s="22">
        <v>42</v>
      </c>
      <c r="Q195" t="s">
        <v>56</v>
      </c>
      <c r="R195" t="s">
        <v>407</v>
      </c>
      <c r="S195" t="s">
        <v>63</v>
      </c>
      <c r="T195">
        <f t="shared" ref="T195:T236" si="24">DATEDIF(I195,U195,"d")</f>
        <v>8</v>
      </c>
      <c r="U195" s="5">
        <v>44484</v>
      </c>
      <c r="V195" s="7">
        <v>0.42291666666666666</v>
      </c>
      <c r="W195" s="5">
        <v>44491</v>
      </c>
      <c r="X195" s="7">
        <v>0.38958333333333334</v>
      </c>
      <c r="Y195" s="22">
        <f t="shared" ref="Y195:Y258" si="25">DATEDIF(U195,W195,"d")</f>
        <v>7</v>
      </c>
      <c r="Z195" t="s">
        <v>386</v>
      </c>
      <c r="AA195" t="s">
        <v>386</v>
      </c>
      <c r="AB195">
        <v>2</v>
      </c>
      <c r="AC195" t="s">
        <v>288</v>
      </c>
      <c r="AD195" t="s">
        <v>288</v>
      </c>
      <c r="AE195" t="s">
        <v>242</v>
      </c>
      <c r="AF195" t="s">
        <v>120</v>
      </c>
      <c r="AG195" s="20">
        <v>6</v>
      </c>
      <c r="AH195" s="20">
        <v>2.5</v>
      </c>
      <c r="AI195" s="20">
        <v>2.5</v>
      </c>
      <c r="AJ195" s="22">
        <v>40</v>
      </c>
      <c r="AK195" s="22">
        <v>0</v>
      </c>
      <c r="AL195" s="22">
        <v>0</v>
      </c>
      <c r="AM195" s="77">
        <f t="shared" si="7"/>
        <v>1</v>
      </c>
      <c r="AN195" s="22" t="s">
        <v>226</v>
      </c>
      <c r="AO195" s="58">
        <v>0.5</v>
      </c>
      <c r="AP195" t="s">
        <v>234</v>
      </c>
      <c r="AQ195" s="22" t="s">
        <v>668</v>
      </c>
      <c r="AR195" t="s">
        <v>159</v>
      </c>
      <c r="AV195" t="s">
        <v>226</v>
      </c>
      <c r="AW195" t="s">
        <v>182</v>
      </c>
      <c r="AX195" t="s">
        <v>182</v>
      </c>
      <c r="AY195" t="s">
        <v>182</v>
      </c>
      <c r="AZ195" s="28"/>
      <c r="BA195" s="28"/>
    </row>
    <row r="196" spans="1:54" x14ac:dyDescent="0.6">
      <c r="A196" s="14" t="str">
        <f t="shared" si="22"/>
        <v>N</v>
      </c>
      <c r="B196" s="14" t="str">
        <f t="shared" si="23"/>
        <v>Y</v>
      </c>
      <c r="C196" s="14" t="s">
        <v>141</v>
      </c>
      <c r="D196" s="14" t="s">
        <v>141</v>
      </c>
      <c r="E196" s="14" t="s">
        <v>63</v>
      </c>
      <c r="F196" t="str">
        <f t="shared" si="21"/>
        <v>Y_N</v>
      </c>
      <c r="G196" s="22">
        <v>105</v>
      </c>
      <c r="H196" t="s">
        <v>260</v>
      </c>
      <c r="I196" s="5">
        <v>44476</v>
      </c>
      <c r="J196" s="7">
        <v>0.65625</v>
      </c>
      <c r="K196" s="20">
        <v>12.5</v>
      </c>
      <c r="L196" s="20">
        <v>12.5</v>
      </c>
      <c r="M196" s="20">
        <v>20</v>
      </c>
      <c r="N196" t="s">
        <v>88</v>
      </c>
      <c r="O196" t="s">
        <v>154</v>
      </c>
      <c r="P196" s="22">
        <v>20</v>
      </c>
      <c r="Q196" t="s">
        <v>162</v>
      </c>
      <c r="R196" t="s">
        <v>408</v>
      </c>
      <c r="S196" t="s">
        <v>63</v>
      </c>
      <c r="T196">
        <f t="shared" si="24"/>
        <v>8</v>
      </c>
      <c r="U196" s="5">
        <v>44484</v>
      </c>
      <c r="V196" s="7">
        <v>0.4694444444444445</v>
      </c>
      <c r="W196" s="5">
        <v>44491</v>
      </c>
      <c r="X196" s="7">
        <v>0.39097222222222222</v>
      </c>
      <c r="Y196" s="22">
        <f t="shared" si="25"/>
        <v>7</v>
      </c>
      <c r="Z196" t="s">
        <v>401</v>
      </c>
      <c r="AA196" t="s">
        <v>401</v>
      </c>
      <c r="AB196">
        <v>1</v>
      </c>
      <c r="AC196" t="s">
        <v>66</v>
      </c>
      <c r="AD196" t="s">
        <v>351</v>
      </c>
      <c r="AE196" t="s">
        <v>242</v>
      </c>
      <c r="AF196" t="s">
        <v>67</v>
      </c>
      <c r="AG196" s="20">
        <v>8.5</v>
      </c>
      <c r="AH196" s="20">
        <v>5.5</v>
      </c>
      <c r="AI196" s="20">
        <v>12</v>
      </c>
      <c r="AJ196" s="22">
        <v>95</v>
      </c>
      <c r="AK196" s="22">
        <v>0</v>
      </c>
      <c r="AL196" s="22">
        <v>0</v>
      </c>
      <c r="AM196" s="77">
        <f t="shared" si="7"/>
        <v>1</v>
      </c>
      <c r="AN196" s="22" t="s">
        <v>246</v>
      </c>
      <c r="AO196" s="58">
        <v>2</v>
      </c>
      <c r="AP196" t="s">
        <v>234</v>
      </c>
      <c r="AQ196" s="22" t="s">
        <v>668</v>
      </c>
      <c r="AR196" t="s">
        <v>66</v>
      </c>
      <c r="AS196" t="s">
        <v>287</v>
      </c>
      <c r="AV196" t="s">
        <v>141</v>
      </c>
      <c r="AW196" t="s">
        <v>439</v>
      </c>
      <c r="AX196" t="s">
        <v>182</v>
      </c>
      <c r="AY196" t="s">
        <v>182</v>
      </c>
      <c r="AZ196" s="28"/>
      <c r="BA196" s="28"/>
    </row>
    <row r="197" spans="1:54" x14ac:dyDescent="0.6">
      <c r="A197" s="14" t="str">
        <f t="shared" si="22"/>
        <v>N</v>
      </c>
      <c r="B197" s="14" t="str">
        <f t="shared" si="23"/>
        <v>Y</v>
      </c>
      <c r="C197" s="14" t="s">
        <v>141</v>
      </c>
      <c r="D197" s="14" t="s">
        <v>141</v>
      </c>
      <c r="E197" s="14" t="s">
        <v>63</v>
      </c>
      <c r="F197" t="str">
        <f t="shared" si="21"/>
        <v>Y_N</v>
      </c>
      <c r="G197" s="22">
        <v>105</v>
      </c>
      <c r="H197" t="s">
        <v>260</v>
      </c>
      <c r="I197" s="5">
        <v>44476</v>
      </c>
      <c r="J197" s="7">
        <v>0.65625</v>
      </c>
      <c r="K197" s="20">
        <v>12.5</v>
      </c>
      <c r="L197" s="20">
        <v>12.5</v>
      </c>
      <c r="M197" s="20">
        <v>20</v>
      </c>
      <c r="N197" t="s">
        <v>88</v>
      </c>
      <c r="O197" t="s">
        <v>154</v>
      </c>
      <c r="P197" s="22">
        <v>20</v>
      </c>
      <c r="Q197" t="s">
        <v>162</v>
      </c>
      <c r="R197" t="s">
        <v>408</v>
      </c>
      <c r="S197" t="s">
        <v>63</v>
      </c>
      <c r="T197">
        <f t="shared" si="24"/>
        <v>8</v>
      </c>
      <c r="U197" s="5">
        <v>44484</v>
      </c>
      <c r="V197" s="7">
        <v>0.4694444444444445</v>
      </c>
      <c r="W197" s="5">
        <v>44491</v>
      </c>
      <c r="X197" s="7">
        <v>0.39097222222222222</v>
      </c>
      <c r="Y197" s="22">
        <f t="shared" si="25"/>
        <v>7</v>
      </c>
      <c r="Z197" t="s">
        <v>401</v>
      </c>
      <c r="AA197" t="s">
        <v>401</v>
      </c>
      <c r="AB197">
        <v>2</v>
      </c>
      <c r="AC197" t="s">
        <v>287</v>
      </c>
      <c r="AD197" t="s">
        <v>287</v>
      </c>
      <c r="AE197" t="s">
        <v>244</v>
      </c>
      <c r="AF197" t="s">
        <v>120</v>
      </c>
      <c r="AG197" s="20">
        <v>5</v>
      </c>
      <c r="AH197" s="20">
        <v>1.5</v>
      </c>
      <c r="AI197" s="20">
        <v>11</v>
      </c>
      <c r="AJ197" s="22">
        <v>75</v>
      </c>
      <c r="AK197" s="22">
        <v>0</v>
      </c>
      <c r="AL197" s="22">
        <v>3</v>
      </c>
      <c r="AM197" s="77">
        <f t="shared" si="7"/>
        <v>0.96</v>
      </c>
      <c r="AN197" s="22" t="s">
        <v>247</v>
      </c>
      <c r="AO197" s="58">
        <v>1</v>
      </c>
      <c r="AP197" t="s">
        <v>234</v>
      </c>
      <c r="AQ197" s="22" t="s">
        <v>668</v>
      </c>
      <c r="AR197" t="s">
        <v>66</v>
      </c>
      <c r="AS197" t="s">
        <v>287</v>
      </c>
      <c r="AV197" t="s">
        <v>141</v>
      </c>
      <c r="AW197" t="s">
        <v>323</v>
      </c>
      <c r="AX197">
        <v>7</v>
      </c>
      <c r="AY197" t="s">
        <v>440</v>
      </c>
      <c r="AZ197" s="28"/>
      <c r="BA197" s="28"/>
    </row>
    <row r="198" spans="1:54" x14ac:dyDescent="0.6">
      <c r="A198" s="14" t="str">
        <f t="shared" si="22"/>
        <v>Y</v>
      </c>
      <c r="B198" s="14" t="str">
        <f t="shared" si="23"/>
        <v>Y</v>
      </c>
      <c r="C198" s="14" t="s">
        <v>141</v>
      </c>
      <c r="D198" s="14" t="s">
        <v>141</v>
      </c>
      <c r="E198" s="14" t="s">
        <v>141</v>
      </c>
      <c r="F198" t="str">
        <f t="shared" si="21"/>
        <v>Y_Y</v>
      </c>
      <c r="G198" s="22">
        <v>106</v>
      </c>
      <c r="H198" t="s">
        <v>250</v>
      </c>
      <c r="I198" s="5">
        <v>44491</v>
      </c>
      <c r="J198" s="7">
        <v>0.57986111111111105</v>
      </c>
      <c r="K198" s="20">
        <v>10.5</v>
      </c>
      <c r="L198" s="20">
        <v>10.5</v>
      </c>
      <c r="M198" s="20">
        <v>17</v>
      </c>
      <c r="N198" t="s">
        <v>89</v>
      </c>
      <c r="O198" t="s">
        <v>399</v>
      </c>
      <c r="P198" s="22">
        <v>40</v>
      </c>
      <c r="Q198" t="s">
        <v>57</v>
      </c>
      <c r="R198" t="s">
        <v>443</v>
      </c>
      <c r="S198" t="s">
        <v>63</v>
      </c>
      <c r="T198">
        <f t="shared" si="24"/>
        <v>7</v>
      </c>
      <c r="U198" s="5">
        <v>44498</v>
      </c>
      <c r="V198" s="7">
        <v>0.4236111111111111</v>
      </c>
      <c r="W198" s="5">
        <v>44505</v>
      </c>
      <c r="X198" s="7">
        <v>0.43888888888888888</v>
      </c>
      <c r="Y198" s="22">
        <f t="shared" si="25"/>
        <v>7</v>
      </c>
      <c r="Z198" t="s">
        <v>220</v>
      </c>
      <c r="AA198" t="s">
        <v>220</v>
      </c>
      <c r="AB198">
        <v>1</v>
      </c>
      <c r="AC198" t="s">
        <v>118</v>
      </c>
      <c r="AD198" t="s">
        <v>118</v>
      </c>
      <c r="AE198" t="s">
        <v>242</v>
      </c>
      <c r="AF198" t="s">
        <v>121</v>
      </c>
      <c r="AG198" s="20">
        <v>6.5</v>
      </c>
      <c r="AH198" s="20">
        <v>4</v>
      </c>
      <c r="AI198" s="20">
        <v>12</v>
      </c>
      <c r="AJ198" s="22">
        <v>10</v>
      </c>
      <c r="AK198" s="22">
        <v>0</v>
      </c>
      <c r="AL198" s="22">
        <v>10</v>
      </c>
      <c r="AM198" s="77">
        <f t="shared" si="7"/>
        <v>0</v>
      </c>
      <c r="AN198" s="22" t="s">
        <v>245</v>
      </c>
      <c r="AO198" s="58">
        <v>0</v>
      </c>
      <c r="AP198" t="s">
        <v>233</v>
      </c>
      <c r="AQ198" s="22" t="s">
        <v>669</v>
      </c>
      <c r="AR198" t="s">
        <v>119</v>
      </c>
      <c r="AT198" t="s">
        <v>118</v>
      </c>
      <c r="AV198" t="s">
        <v>325</v>
      </c>
      <c r="AW198" t="s">
        <v>182</v>
      </c>
      <c r="AX198" t="s">
        <v>182</v>
      </c>
      <c r="AY198" t="s">
        <v>182</v>
      </c>
      <c r="AZ198" t="s">
        <v>119</v>
      </c>
      <c r="BA198" t="s">
        <v>141</v>
      </c>
    </row>
    <row r="199" spans="1:54" x14ac:dyDescent="0.6">
      <c r="A199" s="14" t="str">
        <f t="shared" si="22"/>
        <v>Y</v>
      </c>
      <c r="B199" s="14" t="str">
        <f t="shared" si="23"/>
        <v>Y</v>
      </c>
      <c r="C199" s="14" t="s">
        <v>141</v>
      </c>
      <c r="D199" s="14" t="s">
        <v>141</v>
      </c>
      <c r="E199" s="14" t="s">
        <v>141</v>
      </c>
      <c r="F199" t="str">
        <f t="shared" si="21"/>
        <v>Y_Y</v>
      </c>
      <c r="G199" s="22">
        <v>106</v>
      </c>
      <c r="H199" t="s">
        <v>250</v>
      </c>
      <c r="I199" s="5">
        <v>44491</v>
      </c>
      <c r="J199" s="7">
        <v>0.57986111111111105</v>
      </c>
      <c r="K199" s="20">
        <v>10.5</v>
      </c>
      <c r="L199" s="20">
        <v>10.5</v>
      </c>
      <c r="M199" s="20">
        <v>17</v>
      </c>
      <c r="N199" t="s">
        <v>89</v>
      </c>
      <c r="O199" t="s">
        <v>399</v>
      </c>
      <c r="P199" s="22">
        <v>40</v>
      </c>
      <c r="Q199" t="s">
        <v>57</v>
      </c>
      <c r="R199" t="s">
        <v>443</v>
      </c>
      <c r="S199" t="s">
        <v>63</v>
      </c>
      <c r="T199">
        <f t="shared" si="24"/>
        <v>7</v>
      </c>
      <c r="U199" s="5">
        <v>44498</v>
      </c>
      <c r="V199" s="7">
        <v>0.4236111111111111</v>
      </c>
      <c r="W199" s="5">
        <v>44505</v>
      </c>
      <c r="X199" s="7">
        <v>0.43888888888888888</v>
      </c>
      <c r="Y199" s="22">
        <f t="shared" si="25"/>
        <v>7</v>
      </c>
      <c r="Z199" t="s">
        <v>220</v>
      </c>
      <c r="AA199" t="s">
        <v>220</v>
      </c>
      <c r="AB199">
        <v>2</v>
      </c>
      <c r="AC199" t="s">
        <v>119</v>
      </c>
      <c r="AD199" t="s">
        <v>119</v>
      </c>
      <c r="AE199" t="s">
        <v>244</v>
      </c>
      <c r="AF199" t="s">
        <v>120</v>
      </c>
      <c r="AG199" s="20">
        <v>12</v>
      </c>
      <c r="AH199" s="20">
        <v>10.5</v>
      </c>
      <c r="AI199" s="20">
        <v>4</v>
      </c>
      <c r="AJ199" s="22">
        <v>10</v>
      </c>
      <c r="AK199" s="22">
        <v>0</v>
      </c>
      <c r="AL199" s="22">
        <v>7</v>
      </c>
      <c r="AM199" s="77">
        <f t="shared" si="7"/>
        <v>0.3</v>
      </c>
      <c r="AN199" s="22" t="s">
        <v>246</v>
      </c>
      <c r="AO199" s="58">
        <v>2</v>
      </c>
      <c r="AP199" t="s">
        <v>234</v>
      </c>
      <c r="AQ199" s="22" t="s">
        <v>669</v>
      </c>
      <c r="AR199" t="s">
        <v>119</v>
      </c>
      <c r="AT199" t="s">
        <v>118</v>
      </c>
      <c r="AV199" t="s">
        <v>325</v>
      </c>
      <c r="AW199" t="s">
        <v>448</v>
      </c>
      <c r="AX199" t="s">
        <v>450</v>
      </c>
      <c r="AY199" t="s">
        <v>449</v>
      </c>
      <c r="AZ199" t="s">
        <v>119</v>
      </c>
      <c r="BA199" t="s">
        <v>141</v>
      </c>
    </row>
    <row r="200" spans="1:54" x14ac:dyDescent="0.6">
      <c r="A200" s="14" t="str">
        <f t="shared" si="22"/>
        <v>Y</v>
      </c>
      <c r="B200" s="14" t="str">
        <f t="shared" si="23"/>
        <v>Y</v>
      </c>
      <c r="C200" s="14" t="s">
        <v>141</v>
      </c>
      <c r="D200" s="14" t="s">
        <v>63</v>
      </c>
      <c r="E200" s="14" t="s">
        <v>141</v>
      </c>
      <c r="F200" t="str">
        <f t="shared" si="21"/>
        <v>N_Y</v>
      </c>
      <c r="G200" s="22">
        <v>107</v>
      </c>
      <c r="H200" t="s">
        <v>373</v>
      </c>
      <c r="I200" s="5">
        <v>44491</v>
      </c>
      <c r="J200" s="7">
        <v>0.57986111111111105</v>
      </c>
      <c r="K200" s="20">
        <v>11</v>
      </c>
      <c r="L200" s="20">
        <v>11.5</v>
      </c>
      <c r="M200" s="20">
        <v>16</v>
      </c>
      <c r="N200" t="s">
        <v>54</v>
      </c>
      <c r="O200" t="s">
        <v>441</v>
      </c>
      <c r="P200" s="22">
        <v>19</v>
      </c>
      <c r="Q200" t="s">
        <v>307</v>
      </c>
      <c r="R200" t="s">
        <v>308</v>
      </c>
      <c r="S200" s="56" t="s">
        <v>308</v>
      </c>
      <c r="T200">
        <f t="shared" si="24"/>
        <v>7</v>
      </c>
      <c r="U200" s="5">
        <v>44498</v>
      </c>
      <c r="V200" s="7">
        <v>0.4201388888888889</v>
      </c>
      <c r="W200" s="5">
        <v>44505</v>
      </c>
      <c r="X200" s="7">
        <v>0.4368055555555555</v>
      </c>
      <c r="Y200" s="22">
        <f t="shared" si="25"/>
        <v>7</v>
      </c>
      <c r="Z200" t="s">
        <v>386</v>
      </c>
      <c r="AA200" t="s">
        <v>386</v>
      </c>
      <c r="AB200">
        <v>1</v>
      </c>
      <c r="AC200" t="s">
        <v>66</v>
      </c>
      <c r="AD200" t="s">
        <v>351</v>
      </c>
      <c r="AE200" t="s">
        <v>242</v>
      </c>
      <c r="AF200" t="s">
        <v>67</v>
      </c>
      <c r="AG200" s="20">
        <v>7.5</v>
      </c>
      <c r="AH200" s="20">
        <v>5</v>
      </c>
      <c r="AI200" s="20">
        <v>8</v>
      </c>
      <c r="AJ200" s="22">
        <v>95</v>
      </c>
      <c r="AK200" s="22">
        <v>0</v>
      </c>
      <c r="AL200" s="22">
        <v>0</v>
      </c>
      <c r="AM200" s="77">
        <f t="shared" si="7"/>
        <v>1</v>
      </c>
      <c r="AN200" s="22" t="s">
        <v>246</v>
      </c>
      <c r="AO200" s="58">
        <v>2</v>
      </c>
      <c r="AP200" t="s">
        <v>234</v>
      </c>
      <c r="AQ200" s="22" t="s">
        <v>668</v>
      </c>
      <c r="AR200" t="s">
        <v>66</v>
      </c>
      <c r="AS200" t="s">
        <v>288</v>
      </c>
      <c r="AV200" t="s">
        <v>141</v>
      </c>
      <c r="AW200" t="s">
        <v>452</v>
      </c>
      <c r="AX200" t="s">
        <v>182</v>
      </c>
      <c r="AY200" t="s">
        <v>182</v>
      </c>
      <c r="AZ200" t="s">
        <v>458</v>
      </c>
      <c r="BA200" t="s">
        <v>226</v>
      </c>
    </row>
    <row r="201" spans="1:54" x14ac:dyDescent="0.6">
      <c r="A201" s="14" t="str">
        <f t="shared" si="22"/>
        <v>Y</v>
      </c>
      <c r="B201" s="14" t="str">
        <f t="shared" si="23"/>
        <v>Y</v>
      </c>
      <c r="C201" s="14" t="s">
        <v>141</v>
      </c>
      <c r="D201" s="14" t="s">
        <v>63</v>
      </c>
      <c r="E201" s="14" t="s">
        <v>141</v>
      </c>
      <c r="F201" t="str">
        <f t="shared" si="21"/>
        <v>N_Y</v>
      </c>
      <c r="G201" s="22">
        <v>107</v>
      </c>
      <c r="H201" t="s">
        <v>373</v>
      </c>
      <c r="I201" s="5">
        <v>44491</v>
      </c>
      <c r="J201" s="7">
        <v>0.57986111111111105</v>
      </c>
      <c r="K201" s="20">
        <v>11</v>
      </c>
      <c r="L201" s="20">
        <v>11.5</v>
      </c>
      <c r="M201" s="20">
        <v>16</v>
      </c>
      <c r="N201" t="s">
        <v>54</v>
      </c>
      <c r="O201" t="s">
        <v>441</v>
      </c>
      <c r="P201" s="22">
        <v>19</v>
      </c>
      <c r="Q201" t="s">
        <v>307</v>
      </c>
      <c r="R201" t="s">
        <v>308</v>
      </c>
      <c r="S201" s="56" t="s">
        <v>308</v>
      </c>
      <c r="T201">
        <f t="shared" si="24"/>
        <v>7</v>
      </c>
      <c r="U201" s="5">
        <v>44498</v>
      </c>
      <c r="V201" s="7">
        <v>0.4201388888888889</v>
      </c>
      <c r="W201" s="5">
        <v>44505</v>
      </c>
      <c r="X201" s="7">
        <v>0.4368055555555555</v>
      </c>
      <c r="Y201" s="22">
        <f t="shared" si="25"/>
        <v>7</v>
      </c>
      <c r="Z201" t="s">
        <v>386</v>
      </c>
      <c r="AA201" t="s">
        <v>386</v>
      </c>
      <c r="AB201">
        <v>2</v>
      </c>
      <c r="AC201" t="s">
        <v>288</v>
      </c>
      <c r="AD201" t="s">
        <v>288</v>
      </c>
      <c r="AE201" t="s">
        <v>244</v>
      </c>
      <c r="AF201" t="s">
        <v>120</v>
      </c>
      <c r="AG201" s="20">
        <v>9</v>
      </c>
      <c r="AH201" s="20">
        <v>6.5</v>
      </c>
      <c r="AI201" s="20">
        <v>6</v>
      </c>
      <c r="AJ201" s="22">
        <v>60</v>
      </c>
      <c r="AK201" s="22">
        <v>0</v>
      </c>
      <c r="AL201" s="22">
        <v>30</v>
      </c>
      <c r="AM201" s="77">
        <f t="shared" si="7"/>
        <v>0.5</v>
      </c>
      <c r="AN201" s="22" t="s">
        <v>247</v>
      </c>
      <c r="AO201" s="58">
        <v>1</v>
      </c>
      <c r="AP201" t="s">
        <v>234</v>
      </c>
      <c r="AQ201" s="22" t="s">
        <v>668</v>
      </c>
      <c r="AR201" t="s">
        <v>66</v>
      </c>
      <c r="AS201" t="s">
        <v>288</v>
      </c>
      <c r="AV201" t="s">
        <v>141</v>
      </c>
      <c r="AW201" t="s">
        <v>451</v>
      </c>
      <c r="AX201" t="s">
        <v>182</v>
      </c>
      <c r="AY201" t="s">
        <v>182</v>
      </c>
      <c r="AZ201" t="s">
        <v>458</v>
      </c>
      <c r="BA201" t="s">
        <v>226</v>
      </c>
    </row>
    <row r="202" spans="1:54" x14ac:dyDescent="0.6">
      <c r="A202" s="14" t="str">
        <f t="shared" si="22"/>
        <v>Y</v>
      </c>
      <c r="B202" s="14" t="str">
        <f t="shared" si="23"/>
        <v>Y</v>
      </c>
      <c r="C202" s="14" t="s">
        <v>141</v>
      </c>
      <c r="D202" s="14" t="s">
        <v>141</v>
      </c>
      <c r="E202" s="14" t="s">
        <v>141</v>
      </c>
      <c r="F202" t="str">
        <f t="shared" si="21"/>
        <v>Y_Y</v>
      </c>
      <c r="G202" s="22">
        <v>108</v>
      </c>
      <c r="H202" t="s">
        <v>374</v>
      </c>
      <c r="I202" s="5">
        <v>44491</v>
      </c>
      <c r="J202" s="7">
        <v>0.57986111111111105</v>
      </c>
      <c r="K202" s="20">
        <v>13</v>
      </c>
      <c r="L202" s="20">
        <v>14</v>
      </c>
      <c r="M202" s="20">
        <v>18</v>
      </c>
      <c r="N202" t="s">
        <v>89</v>
      </c>
      <c r="O202" t="s">
        <v>399</v>
      </c>
      <c r="P202" s="22">
        <v>44</v>
      </c>
      <c r="Q202" t="s">
        <v>258</v>
      </c>
      <c r="R202" t="s">
        <v>444</v>
      </c>
      <c r="S202" s="56" t="s">
        <v>444</v>
      </c>
      <c r="T202">
        <f t="shared" si="24"/>
        <v>7</v>
      </c>
      <c r="U202" s="5">
        <v>44498</v>
      </c>
      <c r="V202" s="7">
        <v>0.41666666666666669</v>
      </c>
      <c r="W202" s="5">
        <v>44505</v>
      </c>
      <c r="X202" s="7">
        <v>0.43472222222222223</v>
      </c>
      <c r="Y202" s="22">
        <f t="shared" si="25"/>
        <v>7</v>
      </c>
      <c r="Z202" t="s">
        <v>401</v>
      </c>
      <c r="AA202" s="35" t="s">
        <v>401</v>
      </c>
      <c r="AB202">
        <v>1</v>
      </c>
      <c r="AC202" t="s">
        <v>66</v>
      </c>
      <c r="AD202" t="s">
        <v>351</v>
      </c>
      <c r="AE202" t="s">
        <v>242</v>
      </c>
      <c r="AF202" t="s">
        <v>67</v>
      </c>
      <c r="AG202" s="20">
        <v>5</v>
      </c>
      <c r="AH202" s="20">
        <v>2.5</v>
      </c>
      <c r="AI202" s="20">
        <v>7.5</v>
      </c>
      <c r="AJ202" s="22">
        <v>80</v>
      </c>
      <c r="AK202" s="22">
        <v>0</v>
      </c>
      <c r="AL202" s="22">
        <v>0</v>
      </c>
      <c r="AM202" s="77">
        <f t="shared" si="7"/>
        <v>1</v>
      </c>
      <c r="AN202" s="22" t="s">
        <v>246</v>
      </c>
      <c r="AO202" s="58">
        <v>2</v>
      </c>
      <c r="AP202" t="s">
        <v>234</v>
      </c>
      <c r="AQ202" s="22" t="s">
        <v>667</v>
      </c>
      <c r="AR202" t="s">
        <v>66</v>
      </c>
      <c r="AT202" t="s">
        <v>287</v>
      </c>
      <c r="AV202" t="s">
        <v>325</v>
      </c>
      <c r="AW202" t="s">
        <v>453</v>
      </c>
      <c r="AX202" t="s">
        <v>182</v>
      </c>
      <c r="AY202" t="s">
        <v>182</v>
      </c>
      <c r="AZ202" t="s">
        <v>66</v>
      </c>
      <c r="BA202" t="s">
        <v>141</v>
      </c>
    </row>
    <row r="203" spans="1:54" x14ac:dyDescent="0.6">
      <c r="A203" s="14" t="str">
        <f t="shared" si="22"/>
        <v>Y</v>
      </c>
      <c r="B203" s="14" t="str">
        <f t="shared" si="23"/>
        <v>Y</v>
      </c>
      <c r="C203" s="14" t="s">
        <v>141</v>
      </c>
      <c r="D203" s="14" t="s">
        <v>141</v>
      </c>
      <c r="E203" s="14" t="s">
        <v>141</v>
      </c>
      <c r="F203" t="str">
        <f t="shared" si="21"/>
        <v>Y_Y</v>
      </c>
      <c r="G203" s="22">
        <v>108</v>
      </c>
      <c r="H203" t="s">
        <v>374</v>
      </c>
      <c r="I203" s="5">
        <v>44491</v>
      </c>
      <c r="J203" s="7">
        <v>0.57986111111111105</v>
      </c>
      <c r="K203" s="20">
        <v>13</v>
      </c>
      <c r="L203" s="20">
        <v>14</v>
      </c>
      <c r="M203" s="20">
        <v>18</v>
      </c>
      <c r="N203" t="s">
        <v>89</v>
      </c>
      <c r="O203" t="s">
        <v>399</v>
      </c>
      <c r="P203" s="22">
        <v>44</v>
      </c>
      <c r="Q203" t="s">
        <v>258</v>
      </c>
      <c r="R203" t="s">
        <v>444</v>
      </c>
      <c r="S203" s="56" t="s">
        <v>444</v>
      </c>
      <c r="T203">
        <f t="shared" si="24"/>
        <v>7</v>
      </c>
      <c r="U203" s="5">
        <v>44498</v>
      </c>
      <c r="V203" s="7">
        <v>0.41666666666666669</v>
      </c>
      <c r="W203" s="5">
        <v>44505</v>
      </c>
      <c r="X203" s="7">
        <v>0.43472222222222223</v>
      </c>
      <c r="Y203" s="22">
        <f t="shared" si="25"/>
        <v>7</v>
      </c>
      <c r="Z203" t="s">
        <v>401</v>
      </c>
      <c r="AA203" s="35" t="s">
        <v>401</v>
      </c>
      <c r="AB203">
        <v>2</v>
      </c>
      <c r="AC203" t="s">
        <v>287</v>
      </c>
      <c r="AD203" t="s">
        <v>287</v>
      </c>
      <c r="AE203" t="s">
        <v>244</v>
      </c>
      <c r="AF203" t="s">
        <v>402</v>
      </c>
      <c r="AG203" s="20">
        <v>8.5</v>
      </c>
      <c r="AH203" s="20">
        <v>5</v>
      </c>
      <c r="AI203" s="20">
        <v>6.5</v>
      </c>
      <c r="AJ203" s="22">
        <v>35</v>
      </c>
      <c r="AK203" s="22">
        <v>0</v>
      </c>
      <c r="AL203" s="22">
        <v>35</v>
      </c>
      <c r="AM203" s="77">
        <f t="shared" si="7"/>
        <v>0</v>
      </c>
      <c r="AN203" s="22" t="s">
        <v>245</v>
      </c>
      <c r="AO203" s="58">
        <v>0</v>
      </c>
      <c r="AP203" t="s">
        <v>233</v>
      </c>
      <c r="AQ203" s="22" t="s">
        <v>667</v>
      </c>
      <c r="AR203" t="s">
        <v>66</v>
      </c>
      <c r="AT203" t="s">
        <v>287</v>
      </c>
      <c r="AV203" t="s">
        <v>325</v>
      </c>
      <c r="AW203" t="s">
        <v>182</v>
      </c>
      <c r="AX203" t="s">
        <v>182</v>
      </c>
      <c r="AY203" t="s">
        <v>182</v>
      </c>
      <c r="AZ203" t="s">
        <v>66</v>
      </c>
      <c r="BA203" t="s">
        <v>141</v>
      </c>
    </row>
    <row r="204" spans="1:54" x14ac:dyDescent="0.6">
      <c r="A204" s="14" t="str">
        <f t="shared" si="22"/>
        <v>Y</v>
      </c>
      <c r="B204" s="14" t="str">
        <f t="shared" si="23"/>
        <v>Y</v>
      </c>
      <c r="C204" s="14" t="s">
        <v>141</v>
      </c>
      <c r="D204" s="14" t="s">
        <v>141</v>
      </c>
      <c r="E204" s="14" t="s">
        <v>141</v>
      </c>
      <c r="F204" t="str">
        <f t="shared" si="21"/>
        <v>Y_Y</v>
      </c>
      <c r="G204" s="22">
        <v>109</v>
      </c>
      <c r="H204" t="s">
        <v>49</v>
      </c>
      <c r="I204" s="5">
        <v>44491</v>
      </c>
      <c r="J204" s="7">
        <v>0.57986111111111105</v>
      </c>
      <c r="K204" s="20">
        <v>10.5</v>
      </c>
      <c r="L204" s="20">
        <v>11</v>
      </c>
      <c r="M204" s="20">
        <v>16</v>
      </c>
      <c r="N204" t="s">
        <v>54</v>
      </c>
      <c r="O204" t="s">
        <v>441</v>
      </c>
      <c r="P204" s="22">
        <v>19</v>
      </c>
      <c r="Q204" t="s">
        <v>22</v>
      </c>
      <c r="R204" t="s">
        <v>311</v>
      </c>
      <c r="S204" s="56" t="s">
        <v>311</v>
      </c>
      <c r="T204">
        <f t="shared" si="24"/>
        <v>7</v>
      </c>
      <c r="U204" s="5">
        <v>44498</v>
      </c>
      <c r="V204" s="7">
        <v>0.41319444444444442</v>
      </c>
      <c r="W204" s="5">
        <v>44505</v>
      </c>
      <c r="X204" s="7">
        <v>0.43263888888888885</v>
      </c>
      <c r="Y204" s="22">
        <f t="shared" si="25"/>
        <v>7</v>
      </c>
      <c r="Z204" t="s">
        <v>447</v>
      </c>
      <c r="AA204" t="s">
        <v>447</v>
      </c>
      <c r="AB204">
        <v>1</v>
      </c>
      <c r="AC204" t="s">
        <v>117</v>
      </c>
      <c r="AD204" t="s">
        <v>117</v>
      </c>
      <c r="AE204" t="s">
        <v>244</v>
      </c>
      <c r="AF204" t="s">
        <v>120</v>
      </c>
      <c r="AG204" s="20">
        <v>10</v>
      </c>
      <c r="AH204" s="20">
        <v>5.5</v>
      </c>
      <c r="AI204" s="20">
        <v>4.5</v>
      </c>
      <c r="AJ204" s="22">
        <v>20</v>
      </c>
      <c r="AK204" s="22">
        <v>0</v>
      </c>
      <c r="AL204" s="22">
        <v>20</v>
      </c>
      <c r="AM204" s="77">
        <f t="shared" si="7"/>
        <v>0</v>
      </c>
      <c r="AN204" s="22" t="s">
        <v>245</v>
      </c>
      <c r="AO204" s="58">
        <v>0</v>
      </c>
      <c r="AP204" t="s">
        <v>233</v>
      </c>
      <c r="AQ204" s="22" t="s">
        <v>669</v>
      </c>
      <c r="AT204" t="s">
        <v>117</v>
      </c>
      <c r="AU204" t="s">
        <v>288</v>
      </c>
      <c r="AV204" t="s">
        <v>324</v>
      </c>
      <c r="AW204" t="s">
        <v>182</v>
      </c>
      <c r="AX204" t="s">
        <v>182</v>
      </c>
      <c r="AY204" t="s">
        <v>182</v>
      </c>
      <c r="AZ204" t="s">
        <v>288</v>
      </c>
      <c r="BA204" t="s">
        <v>460</v>
      </c>
    </row>
    <row r="205" spans="1:54" x14ac:dyDescent="0.6">
      <c r="A205" s="14" t="str">
        <f t="shared" si="22"/>
        <v>Y</v>
      </c>
      <c r="B205" s="14" t="str">
        <f t="shared" si="23"/>
        <v>Y</v>
      </c>
      <c r="C205" s="14" t="s">
        <v>141</v>
      </c>
      <c r="D205" s="14" t="s">
        <v>141</v>
      </c>
      <c r="E205" s="14" t="s">
        <v>141</v>
      </c>
      <c r="F205" t="str">
        <f t="shared" si="21"/>
        <v>Y_Y</v>
      </c>
      <c r="G205" s="22">
        <v>109</v>
      </c>
      <c r="H205" t="s">
        <v>49</v>
      </c>
      <c r="I205" s="5">
        <v>44491</v>
      </c>
      <c r="J205" s="7">
        <v>0.57986111111111105</v>
      </c>
      <c r="K205" s="20">
        <v>10.5</v>
      </c>
      <c r="L205" s="20">
        <v>11</v>
      </c>
      <c r="M205" s="20">
        <v>16</v>
      </c>
      <c r="N205" t="s">
        <v>54</v>
      </c>
      <c r="O205" t="s">
        <v>441</v>
      </c>
      <c r="P205" s="22">
        <v>19</v>
      </c>
      <c r="Q205" t="s">
        <v>22</v>
      </c>
      <c r="R205" t="s">
        <v>311</v>
      </c>
      <c r="S205" s="56" t="s">
        <v>311</v>
      </c>
      <c r="T205">
        <f t="shared" si="24"/>
        <v>7</v>
      </c>
      <c r="U205" s="5">
        <v>44498</v>
      </c>
      <c r="V205" s="7">
        <v>0.41319444444444442</v>
      </c>
      <c r="W205" s="5">
        <v>44505</v>
      </c>
      <c r="X205" s="7">
        <v>0.43263888888888885</v>
      </c>
      <c r="Y205" s="22">
        <f t="shared" si="25"/>
        <v>7</v>
      </c>
      <c r="Z205" t="s">
        <v>447</v>
      </c>
      <c r="AA205" t="s">
        <v>447</v>
      </c>
      <c r="AB205">
        <v>2</v>
      </c>
      <c r="AC205" t="s">
        <v>288</v>
      </c>
      <c r="AD205" t="s">
        <v>288</v>
      </c>
      <c r="AE205" t="s">
        <v>242</v>
      </c>
      <c r="AF205" t="s">
        <v>120</v>
      </c>
      <c r="AG205" s="20">
        <v>7.5</v>
      </c>
      <c r="AH205" s="20">
        <v>5.5</v>
      </c>
      <c r="AI205" s="20">
        <v>6</v>
      </c>
      <c r="AJ205" s="22">
        <v>25</v>
      </c>
      <c r="AK205" s="22">
        <v>0</v>
      </c>
      <c r="AL205" s="22">
        <v>25</v>
      </c>
      <c r="AM205" s="77">
        <f t="shared" si="7"/>
        <v>0</v>
      </c>
      <c r="AN205" s="22" t="s">
        <v>245</v>
      </c>
      <c r="AO205" s="58">
        <v>0</v>
      </c>
      <c r="AP205" t="s">
        <v>233</v>
      </c>
      <c r="AQ205" s="22" t="s">
        <v>669</v>
      </c>
      <c r="AT205" t="s">
        <v>117</v>
      </c>
      <c r="AU205" t="s">
        <v>288</v>
      </c>
      <c r="AV205" t="s">
        <v>324</v>
      </c>
      <c r="AW205" t="s">
        <v>182</v>
      </c>
      <c r="AX205" t="s">
        <v>182</v>
      </c>
      <c r="AY205" t="s">
        <v>182</v>
      </c>
      <c r="AZ205" t="s">
        <v>288</v>
      </c>
      <c r="BA205" t="s">
        <v>460</v>
      </c>
    </row>
    <row r="206" spans="1:54" x14ac:dyDescent="0.6">
      <c r="A206" s="14" t="str">
        <f t="shared" si="22"/>
        <v>Y</v>
      </c>
      <c r="B206" s="14" t="str">
        <f t="shared" si="23"/>
        <v>Y</v>
      </c>
      <c r="C206" s="14" t="s">
        <v>141</v>
      </c>
      <c r="D206" s="14" t="s">
        <v>141</v>
      </c>
      <c r="E206" s="14" t="s">
        <v>141</v>
      </c>
      <c r="F206" t="str">
        <f t="shared" si="21"/>
        <v>Y_Y</v>
      </c>
      <c r="G206" s="22">
        <v>110</v>
      </c>
      <c r="H206" t="s">
        <v>260</v>
      </c>
      <c r="I206" s="5">
        <v>44491</v>
      </c>
      <c r="J206" s="7">
        <v>0.57986111111111105</v>
      </c>
      <c r="K206" s="20">
        <v>13.5</v>
      </c>
      <c r="L206" s="20">
        <v>13</v>
      </c>
      <c r="M206" s="20">
        <v>22</v>
      </c>
      <c r="N206" t="s">
        <v>55</v>
      </c>
      <c r="O206" t="s">
        <v>442</v>
      </c>
      <c r="P206" s="22">
        <v>25</v>
      </c>
      <c r="Q206" t="s">
        <v>111</v>
      </c>
      <c r="R206" t="s">
        <v>445</v>
      </c>
      <c r="S206" t="s">
        <v>63</v>
      </c>
      <c r="T206">
        <f t="shared" si="24"/>
        <v>7</v>
      </c>
      <c r="U206" s="5">
        <v>44498</v>
      </c>
      <c r="V206" s="7">
        <v>0.40972222222222227</v>
      </c>
      <c r="W206" s="5">
        <v>44505</v>
      </c>
      <c r="X206" s="7">
        <v>0.43055555555555558</v>
      </c>
      <c r="Y206" s="22">
        <f t="shared" si="25"/>
        <v>7</v>
      </c>
      <c r="Z206" t="s">
        <v>447</v>
      </c>
      <c r="AA206" t="s">
        <v>447</v>
      </c>
      <c r="AB206">
        <v>1</v>
      </c>
      <c r="AC206" t="s">
        <v>117</v>
      </c>
      <c r="AD206" t="s">
        <v>117</v>
      </c>
      <c r="AE206" t="s">
        <v>244</v>
      </c>
      <c r="AF206" t="s">
        <v>120</v>
      </c>
      <c r="AG206" s="20">
        <v>12.5</v>
      </c>
      <c r="AH206" s="20">
        <v>10.5</v>
      </c>
      <c r="AI206" s="20">
        <v>4.5</v>
      </c>
      <c r="AJ206" s="22">
        <v>25</v>
      </c>
      <c r="AK206" s="22">
        <v>0</v>
      </c>
      <c r="AL206" s="22">
        <v>25</v>
      </c>
      <c r="AM206" s="77">
        <f t="shared" si="7"/>
        <v>0</v>
      </c>
      <c r="AN206" s="22" t="s">
        <v>245</v>
      </c>
      <c r="AO206" s="58">
        <v>0</v>
      </c>
      <c r="AP206" t="s">
        <v>233</v>
      </c>
      <c r="AQ206" s="22" t="s">
        <v>669</v>
      </c>
      <c r="AT206" t="s">
        <v>117</v>
      </c>
      <c r="AU206" t="s">
        <v>288</v>
      </c>
      <c r="AV206" t="s">
        <v>324</v>
      </c>
      <c r="AW206" t="s">
        <v>182</v>
      </c>
      <c r="AX206" t="s">
        <v>182</v>
      </c>
      <c r="AY206" t="s">
        <v>182</v>
      </c>
      <c r="AZ206" t="s">
        <v>288</v>
      </c>
      <c r="BA206" t="s">
        <v>460</v>
      </c>
      <c r="BB206" s="20" t="s">
        <v>461</v>
      </c>
    </row>
    <row r="207" spans="1:54" x14ac:dyDescent="0.6">
      <c r="A207" s="14" t="str">
        <f t="shared" si="22"/>
        <v>Y</v>
      </c>
      <c r="B207" s="14" t="str">
        <f t="shared" si="23"/>
        <v>Y</v>
      </c>
      <c r="C207" s="14" t="s">
        <v>141</v>
      </c>
      <c r="D207" s="14" t="s">
        <v>141</v>
      </c>
      <c r="E207" s="14" t="s">
        <v>141</v>
      </c>
      <c r="F207" t="str">
        <f t="shared" si="21"/>
        <v>Y_Y</v>
      </c>
      <c r="G207" s="22">
        <v>110</v>
      </c>
      <c r="H207" t="s">
        <v>260</v>
      </c>
      <c r="I207" s="5">
        <v>44491</v>
      </c>
      <c r="J207" s="7">
        <v>0.57986111111111105</v>
      </c>
      <c r="K207" s="20">
        <v>13.5</v>
      </c>
      <c r="L207" s="20">
        <v>13</v>
      </c>
      <c r="M207" s="20">
        <v>22</v>
      </c>
      <c r="N207" t="s">
        <v>55</v>
      </c>
      <c r="O207" t="s">
        <v>442</v>
      </c>
      <c r="P207" s="22">
        <v>25</v>
      </c>
      <c r="Q207" t="s">
        <v>111</v>
      </c>
      <c r="R207" t="s">
        <v>445</v>
      </c>
      <c r="S207" t="s">
        <v>63</v>
      </c>
      <c r="T207">
        <f t="shared" si="24"/>
        <v>7</v>
      </c>
      <c r="U207" s="5">
        <v>44498</v>
      </c>
      <c r="V207" s="7">
        <v>0.40972222222222227</v>
      </c>
      <c r="W207" s="5">
        <v>44505</v>
      </c>
      <c r="X207" s="7">
        <v>0.43055555555555558</v>
      </c>
      <c r="Y207" s="22">
        <f t="shared" si="25"/>
        <v>7</v>
      </c>
      <c r="Z207" t="s">
        <v>447</v>
      </c>
      <c r="AA207" t="s">
        <v>447</v>
      </c>
      <c r="AB207">
        <v>2</v>
      </c>
      <c r="AC207" t="s">
        <v>288</v>
      </c>
      <c r="AD207" t="s">
        <v>288</v>
      </c>
      <c r="AE207" t="s">
        <v>242</v>
      </c>
      <c r="AF207" t="s">
        <v>120</v>
      </c>
      <c r="AG207" s="20">
        <v>11</v>
      </c>
      <c r="AH207" s="20">
        <v>4.5</v>
      </c>
      <c r="AI207" s="20">
        <v>2.5</v>
      </c>
      <c r="AJ207" s="22">
        <v>80</v>
      </c>
      <c r="AK207" s="22">
        <v>0</v>
      </c>
      <c r="AL207" s="22">
        <v>80</v>
      </c>
      <c r="AM207" s="77">
        <f t="shared" si="7"/>
        <v>0</v>
      </c>
      <c r="AN207" s="22" t="s">
        <v>245</v>
      </c>
      <c r="AO207" s="58">
        <v>0</v>
      </c>
      <c r="AP207" t="s">
        <v>233</v>
      </c>
      <c r="AQ207" s="22" t="s">
        <v>669</v>
      </c>
      <c r="AT207" t="s">
        <v>117</v>
      </c>
      <c r="AU207" t="s">
        <v>288</v>
      </c>
      <c r="AV207" t="s">
        <v>324</v>
      </c>
      <c r="AW207" t="s">
        <v>182</v>
      </c>
      <c r="AX207" t="s">
        <v>182</v>
      </c>
      <c r="AY207" t="s">
        <v>182</v>
      </c>
      <c r="AZ207" t="s">
        <v>288</v>
      </c>
      <c r="BA207" t="s">
        <v>460</v>
      </c>
      <c r="BB207" s="20" t="s">
        <v>461</v>
      </c>
    </row>
    <row r="208" spans="1:54" x14ac:dyDescent="0.6">
      <c r="A208" s="14" t="str">
        <f t="shared" si="22"/>
        <v>N</v>
      </c>
      <c r="B208" s="14" t="str">
        <f t="shared" si="23"/>
        <v>Y</v>
      </c>
      <c r="C208" s="14" t="s">
        <v>141</v>
      </c>
      <c r="D208" s="14" t="s">
        <v>141</v>
      </c>
      <c r="E208" s="14" t="s">
        <v>141</v>
      </c>
      <c r="F208" t="str">
        <f t="shared" si="21"/>
        <v>Y_Y</v>
      </c>
      <c r="G208" s="22">
        <v>111</v>
      </c>
      <c r="H208" t="s">
        <v>250</v>
      </c>
      <c r="I208" s="5">
        <v>44505</v>
      </c>
      <c r="J208" s="7">
        <v>0.59444444444444444</v>
      </c>
      <c r="K208" s="20">
        <v>13</v>
      </c>
      <c r="L208" s="20">
        <v>13</v>
      </c>
      <c r="M208" s="20">
        <v>21</v>
      </c>
      <c r="N208" t="s">
        <v>109</v>
      </c>
      <c r="O208" t="s">
        <v>143</v>
      </c>
      <c r="P208" s="22">
        <v>18</v>
      </c>
      <c r="Q208" t="s">
        <v>303</v>
      </c>
      <c r="R208" t="s">
        <v>388</v>
      </c>
      <c r="S208" s="56" t="s">
        <v>388</v>
      </c>
      <c r="T208">
        <f t="shared" si="24"/>
        <v>6</v>
      </c>
      <c r="U208" s="5">
        <v>44511</v>
      </c>
      <c r="V208" s="7">
        <v>0.59861111111111109</v>
      </c>
      <c r="W208" s="5">
        <v>44518</v>
      </c>
      <c r="X208" s="7">
        <v>0.42430555555555555</v>
      </c>
      <c r="Y208" s="22">
        <f t="shared" si="25"/>
        <v>7</v>
      </c>
      <c r="Z208" t="s">
        <v>447</v>
      </c>
      <c r="AA208" t="s">
        <v>447</v>
      </c>
      <c r="AB208">
        <v>1</v>
      </c>
      <c r="AC208" t="s">
        <v>288</v>
      </c>
      <c r="AD208" t="s">
        <v>288</v>
      </c>
      <c r="AE208" t="s">
        <v>242</v>
      </c>
      <c r="AF208" t="s">
        <v>120</v>
      </c>
      <c r="AG208" s="20">
        <v>11.5</v>
      </c>
      <c r="AH208" s="20">
        <v>6</v>
      </c>
      <c r="AI208" s="20">
        <v>6.5</v>
      </c>
      <c r="AJ208" s="22">
        <v>30</v>
      </c>
      <c r="AK208" s="22">
        <v>0</v>
      </c>
      <c r="AL208" s="22">
        <v>30</v>
      </c>
      <c r="AM208" s="77">
        <f t="shared" si="7"/>
        <v>0</v>
      </c>
      <c r="AN208" s="22" t="s">
        <v>245</v>
      </c>
      <c r="AO208" s="58">
        <v>0</v>
      </c>
      <c r="AP208" t="s">
        <v>233</v>
      </c>
      <c r="AQ208" s="22" t="s">
        <v>667</v>
      </c>
      <c r="AR208" t="s">
        <v>117</v>
      </c>
      <c r="AT208" t="s">
        <v>288</v>
      </c>
      <c r="AV208" t="s">
        <v>325</v>
      </c>
      <c r="AW208" t="s">
        <v>182</v>
      </c>
      <c r="AX208" t="s">
        <v>182</v>
      </c>
      <c r="AY208" t="s">
        <v>182</v>
      </c>
      <c r="AZ208" t="s">
        <v>288</v>
      </c>
      <c r="BA208" t="s">
        <v>63</v>
      </c>
    </row>
    <row r="209" spans="1:54" x14ac:dyDescent="0.6">
      <c r="A209" s="14" t="str">
        <f t="shared" si="22"/>
        <v>N</v>
      </c>
      <c r="B209" s="14" t="str">
        <f t="shared" si="23"/>
        <v>Y</v>
      </c>
      <c r="C209" s="14" t="s">
        <v>141</v>
      </c>
      <c r="D209" s="14" t="s">
        <v>141</v>
      </c>
      <c r="E209" s="14" t="s">
        <v>141</v>
      </c>
      <c r="F209" t="str">
        <f t="shared" si="21"/>
        <v>Y_Y</v>
      </c>
      <c r="G209" s="22">
        <v>111</v>
      </c>
      <c r="H209" t="s">
        <v>250</v>
      </c>
      <c r="I209" s="5">
        <v>44505</v>
      </c>
      <c r="J209" s="7">
        <v>0.59444444444444444</v>
      </c>
      <c r="K209" s="20">
        <v>13</v>
      </c>
      <c r="L209" s="20">
        <v>13</v>
      </c>
      <c r="M209" s="20">
        <v>21</v>
      </c>
      <c r="N209" t="s">
        <v>109</v>
      </c>
      <c r="O209" t="s">
        <v>143</v>
      </c>
      <c r="P209" s="22">
        <v>18</v>
      </c>
      <c r="Q209" t="s">
        <v>303</v>
      </c>
      <c r="R209" t="s">
        <v>388</v>
      </c>
      <c r="S209" s="56" t="s">
        <v>388</v>
      </c>
      <c r="T209">
        <f t="shared" si="24"/>
        <v>6</v>
      </c>
      <c r="U209" s="5">
        <v>44511</v>
      </c>
      <c r="V209" s="7">
        <v>0.59861111111111109</v>
      </c>
      <c r="W209" s="5">
        <v>44518</v>
      </c>
      <c r="X209" s="7">
        <v>0.42430555555555555</v>
      </c>
      <c r="Y209" s="22">
        <f t="shared" si="25"/>
        <v>7</v>
      </c>
      <c r="Z209" t="s">
        <v>447</v>
      </c>
      <c r="AA209" t="s">
        <v>447</v>
      </c>
      <c r="AB209">
        <v>2</v>
      </c>
      <c r="AC209" t="s">
        <v>117</v>
      </c>
      <c r="AD209" t="s">
        <v>117</v>
      </c>
      <c r="AE209" t="s">
        <v>244</v>
      </c>
      <c r="AF209" t="s">
        <v>120</v>
      </c>
      <c r="AG209" s="20">
        <v>8.5</v>
      </c>
      <c r="AH209" s="20">
        <v>7</v>
      </c>
      <c r="AI209" s="20">
        <v>4.5</v>
      </c>
      <c r="AJ209" s="22">
        <v>40</v>
      </c>
      <c r="AK209" s="22">
        <v>0</v>
      </c>
      <c r="AL209" s="22">
        <v>0</v>
      </c>
      <c r="AM209" s="77">
        <f t="shared" si="7"/>
        <v>1</v>
      </c>
      <c r="AN209" s="22" t="s">
        <v>246</v>
      </c>
      <c r="AO209" s="58">
        <v>2</v>
      </c>
      <c r="AP209" t="s">
        <v>234</v>
      </c>
      <c r="AQ209" s="22" t="s">
        <v>667</v>
      </c>
      <c r="AR209" t="s">
        <v>117</v>
      </c>
      <c r="AT209" t="s">
        <v>288</v>
      </c>
      <c r="AV209" t="s">
        <v>325</v>
      </c>
      <c r="AW209" t="s">
        <v>323</v>
      </c>
      <c r="AX209">
        <v>7</v>
      </c>
      <c r="AY209" t="s">
        <v>462</v>
      </c>
      <c r="AZ209" t="s">
        <v>288</v>
      </c>
      <c r="BA209" t="s">
        <v>63</v>
      </c>
    </row>
    <row r="210" spans="1:54" x14ac:dyDescent="0.6">
      <c r="A210" s="14" t="str">
        <f t="shared" si="22"/>
        <v>N</v>
      </c>
      <c r="B210" s="14" t="str">
        <f t="shared" si="23"/>
        <v>Y</v>
      </c>
      <c r="C210" s="14" t="s">
        <v>141</v>
      </c>
      <c r="D210" s="14" t="s">
        <v>141</v>
      </c>
      <c r="E210" s="14" t="s">
        <v>141</v>
      </c>
      <c r="F210" t="str">
        <f t="shared" si="21"/>
        <v>Y_Y</v>
      </c>
      <c r="G210" s="22">
        <v>112</v>
      </c>
      <c r="H210" t="s">
        <v>373</v>
      </c>
      <c r="I210" s="5">
        <v>44505</v>
      </c>
      <c r="J210" s="7">
        <v>0.59444444444444444</v>
      </c>
      <c r="K210" s="20">
        <v>11</v>
      </c>
      <c r="L210" s="20">
        <v>11</v>
      </c>
      <c r="M210" s="20">
        <v>16</v>
      </c>
      <c r="N210" t="s">
        <v>109</v>
      </c>
      <c r="O210" t="s">
        <v>143</v>
      </c>
      <c r="P210" s="22">
        <v>18</v>
      </c>
      <c r="Q210" t="s">
        <v>79</v>
      </c>
      <c r="R210" t="s">
        <v>364</v>
      </c>
      <c r="S210" s="56" t="s">
        <v>364</v>
      </c>
      <c r="T210">
        <f t="shared" si="24"/>
        <v>6</v>
      </c>
      <c r="U210" s="5">
        <v>44511</v>
      </c>
      <c r="V210" s="7">
        <v>0.59722222222222221</v>
      </c>
      <c r="W210" s="5">
        <v>44518</v>
      </c>
      <c r="X210" s="7">
        <v>0.42569444444444443</v>
      </c>
      <c r="Y210" s="22">
        <f t="shared" si="25"/>
        <v>7</v>
      </c>
      <c r="Z210" t="s">
        <v>447</v>
      </c>
      <c r="AA210" t="s">
        <v>447</v>
      </c>
      <c r="AB210">
        <v>1</v>
      </c>
      <c r="AC210" t="s">
        <v>288</v>
      </c>
      <c r="AD210" t="s">
        <v>288</v>
      </c>
      <c r="AE210" t="s">
        <v>242</v>
      </c>
      <c r="AF210" t="s">
        <v>120</v>
      </c>
      <c r="AG210" s="20">
        <v>10</v>
      </c>
      <c r="AH210" s="20">
        <v>5.5</v>
      </c>
      <c r="AI210" s="20">
        <v>3</v>
      </c>
      <c r="AJ210" s="22">
        <v>80</v>
      </c>
      <c r="AK210" s="22">
        <v>0</v>
      </c>
      <c r="AL210" s="22">
        <v>5</v>
      </c>
      <c r="AM210" s="77">
        <f t="shared" si="7"/>
        <v>0.9375</v>
      </c>
      <c r="AN210" s="22" t="s">
        <v>246</v>
      </c>
      <c r="AO210" s="58">
        <v>2</v>
      </c>
      <c r="AP210" t="s">
        <v>234</v>
      </c>
      <c r="AQ210" s="22" t="s">
        <v>668</v>
      </c>
      <c r="AR210" t="s">
        <v>288</v>
      </c>
      <c r="AS210" t="s">
        <v>117</v>
      </c>
      <c r="AV210" t="s">
        <v>141</v>
      </c>
      <c r="AW210" t="s">
        <v>463</v>
      </c>
      <c r="AX210" t="s">
        <v>182</v>
      </c>
      <c r="AY210" t="s">
        <v>182</v>
      </c>
      <c r="AZ210" t="s">
        <v>458</v>
      </c>
      <c r="BA210" t="s">
        <v>226</v>
      </c>
    </row>
    <row r="211" spans="1:54" x14ac:dyDescent="0.6">
      <c r="A211" s="14" t="str">
        <f t="shared" si="22"/>
        <v>N</v>
      </c>
      <c r="B211" s="14" t="str">
        <f t="shared" si="23"/>
        <v>Y</v>
      </c>
      <c r="C211" s="14" t="s">
        <v>141</v>
      </c>
      <c r="D211" s="14" t="s">
        <v>141</v>
      </c>
      <c r="E211" s="14" t="s">
        <v>141</v>
      </c>
      <c r="F211" t="str">
        <f t="shared" si="21"/>
        <v>Y_Y</v>
      </c>
      <c r="G211" s="22">
        <v>112</v>
      </c>
      <c r="H211" t="s">
        <v>373</v>
      </c>
      <c r="I211" s="5">
        <v>44505</v>
      </c>
      <c r="J211" s="7">
        <v>0.59444444444444444</v>
      </c>
      <c r="K211" s="20">
        <v>11</v>
      </c>
      <c r="L211" s="20">
        <v>11</v>
      </c>
      <c r="M211" s="20">
        <v>16</v>
      </c>
      <c r="N211" t="s">
        <v>109</v>
      </c>
      <c r="O211" t="s">
        <v>143</v>
      </c>
      <c r="P211" s="22">
        <v>18</v>
      </c>
      <c r="Q211" t="s">
        <v>79</v>
      </c>
      <c r="R211" t="s">
        <v>364</v>
      </c>
      <c r="S211" s="56" t="s">
        <v>364</v>
      </c>
      <c r="T211">
        <f t="shared" si="24"/>
        <v>6</v>
      </c>
      <c r="U211" s="5">
        <v>44511</v>
      </c>
      <c r="V211" s="7">
        <v>0.59722222222222221</v>
      </c>
      <c r="W211" s="5">
        <v>44518</v>
      </c>
      <c r="X211" s="7">
        <v>0.42569444444444443</v>
      </c>
      <c r="Y211" s="22">
        <f t="shared" si="25"/>
        <v>7</v>
      </c>
      <c r="Z211" t="s">
        <v>447</v>
      </c>
      <c r="AA211" t="s">
        <v>447</v>
      </c>
      <c r="AB211">
        <v>2</v>
      </c>
      <c r="AC211" t="s">
        <v>117</v>
      </c>
      <c r="AD211" t="s">
        <v>117</v>
      </c>
      <c r="AE211" t="s">
        <v>244</v>
      </c>
      <c r="AF211" t="s">
        <v>120</v>
      </c>
      <c r="AG211" s="20">
        <v>8.5</v>
      </c>
      <c r="AH211" s="20">
        <v>4</v>
      </c>
      <c r="AI211" s="20">
        <v>2.5</v>
      </c>
      <c r="AJ211" s="22">
        <v>75</v>
      </c>
      <c r="AK211" s="22">
        <v>0</v>
      </c>
      <c r="AL211" s="22">
        <v>30</v>
      </c>
      <c r="AM211" s="77">
        <f t="shared" si="7"/>
        <v>0.6</v>
      </c>
      <c r="AN211" s="22" t="s">
        <v>247</v>
      </c>
      <c r="AO211" s="58">
        <v>1</v>
      </c>
      <c r="AP211" t="s">
        <v>234</v>
      </c>
      <c r="AQ211" s="22" t="s">
        <v>668</v>
      </c>
      <c r="AR211" t="s">
        <v>288</v>
      </c>
      <c r="AS211" t="s">
        <v>117</v>
      </c>
      <c r="AV211" t="s">
        <v>141</v>
      </c>
      <c r="AW211" t="s">
        <v>464</v>
      </c>
      <c r="AX211" t="s">
        <v>182</v>
      </c>
      <c r="AY211" t="s">
        <v>182</v>
      </c>
      <c r="AZ211" t="s">
        <v>458</v>
      </c>
      <c r="BA211" t="s">
        <v>226</v>
      </c>
    </row>
    <row r="212" spans="1:54" x14ac:dyDescent="0.6">
      <c r="A212" s="14" t="str">
        <f t="shared" si="22"/>
        <v>N</v>
      </c>
      <c r="B212" s="14" t="str">
        <f t="shared" si="23"/>
        <v>Y</v>
      </c>
      <c r="C212" s="14" t="s">
        <v>141</v>
      </c>
      <c r="D212" s="14" t="s">
        <v>141</v>
      </c>
      <c r="E212" s="14" t="s">
        <v>141</v>
      </c>
      <c r="F212" t="str">
        <f t="shared" si="21"/>
        <v>Y_Y</v>
      </c>
      <c r="G212" s="22">
        <v>113</v>
      </c>
      <c r="H212" t="s">
        <v>374</v>
      </c>
      <c r="I212" s="5">
        <v>44505</v>
      </c>
      <c r="J212" s="7">
        <v>0.59444444444444444</v>
      </c>
      <c r="K212" s="20">
        <v>13</v>
      </c>
      <c r="L212" s="20">
        <v>13</v>
      </c>
      <c r="M212" s="20">
        <v>21</v>
      </c>
      <c r="N212" t="s">
        <v>71</v>
      </c>
      <c r="O212" t="s">
        <v>455</v>
      </c>
      <c r="P212" s="22">
        <v>40</v>
      </c>
      <c r="Q212" t="s">
        <v>57</v>
      </c>
      <c r="R212" t="s">
        <v>456</v>
      </c>
      <c r="S212" t="s">
        <v>63</v>
      </c>
      <c r="T212">
        <f t="shared" si="24"/>
        <v>6</v>
      </c>
      <c r="U212" s="5">
        <v>44511</v>
      </c>
      <c r="V212" s="7">
        <v>0.59583333333333333</v>
      </c>
      <c r="W212" s="5">
        <v>44518</v>
      </c>
      <c r="X212" s="7">
        <v>0.42708333333333331</v>
      </c>
      <c r="Y212" s="22">
        <f t="shared" si="25"/>
        <v>7</v>
      </c>
      <c r="Z212" t="s">
        <v>401</v>
      </c>
      <c r="AA212" t="s">
        <v>401</v>
      </c>
      <c r="AB212">
        <v>1</v>
      </c>
      <c r="AC212" t="s">
        <v>66</v>
      </c>
      <c r="AD212" t="s">
        <v>351</v>
      </c>
      <c r="AE212" t="s">
        <v>242</v>
      </c>
      <c r="AF212" t="s">
        <v>67</v>
      </c>
      <c r="AG212" s="20">
        <v>7</v>
      </c>
      <c r="AH212" s="20">
        <v>3.5</v>
      </c>
      <c r="AI212" s="20">
        <v>9</v>
      </c>
      <c r="AJ212" s="22">
        <v>85</v>
      </c>
      <c r="AK212" s="22">
        <v>0</v>
      </c>
      <c r="AL212" s="22">
        <v>0</v>
      </c>
      <c r="AM212" s="77">
        <f t="shared" si="7"/>
        <v>1</v>
      </c>
      <c r="AN212" s="22" t="s">
        <v>247</v>
      </c>
      <c r="AO212" s="58">
        <v>1</v>
      </c>
      <c r="AP212" t="s">
        <v>234</v>
      </c>
      <c r="AQ212" s="22" t="s">
        <v>668</v>
      </c>
      <c r="AR212" t="s">
        <v>287</v>
      </c>
      <c r="AS212" t="s">
        <v>66</v>
      </c>
      <c r="AV212" t="s">
        <v>141</v>
      </c>
      <c r="AW212" t="s">
        <v>463</v>
      </c>
      <c r="AX212" t="s">
        <v>182</v>
      </c>
      <c r="AY212" t="s">
        <v>182</v>
      </c>
      <c r="AZ212" t="s">
        <v>287</v>
      </c>
      <c r="BA212" t="s">
        <v>141</v>
      </c>
    </row>
    <row r="213" spans="1:54" x14ac:dyDescent="0.6">
      <c r="A213" s="14" t="str">
        <f t="shared" si="22"/>
        <v>N</v>
      </c>
      <c r="B213" s="14" t="str">
        <f t="shared" si="23"/>
        <v>Y</v>
      </c>
      <c r="C213" s="14" t="s">
        <v>141</v>
      </c>
      <c r="D213" s="14" t="s">
        <v>141</v>
      </c>
      <c r="E213" s="14" t="s">
        <v>141</v>
      </c>
      <c r="F213" t="str">
        <f t="shared" si="21"/>
        <v>Y_Y</v>
      </c>
      <c r="G213" s="22">
        <v>113</v>
      </c>
      <c r="H213" t="s">
        <v>374</v>
      </c>
      <c r="I213" s="5">
        <v>44505</v>
      </c>
      <c r="J213" s="7">
        <v>0.59444444444444444</v>
      </c>
      <c r="K213" s="20">
        <v>13</v>
      </c>
      <c r="L213" s="20">
        <v>13</v>
      </c>
      <c r="M213" s="20">
        <v>21</v>
      </c>
      <c r="N213" t="s">
        <v>71</v>
      </c>
      <c r="O213" t="s">
        <v>455</v>
      </c>
      <c r="P213" s="22">
        <v>40</v>
      </c>
      <c r="Q213" t="s">
        <v>57</v>
      </c>
      <c r="R213" t="s">
        <v>456</v>
      </c>
      <c r="S213" t="s">
        <v>63</v>
      </c>
      <c r="T213">
        <f t="shared" si="24"/>
        <v>6</v>
      </c>
      <c r="U213" s="5">
        <v>44511</v>
      </c>
      <c r="V213" s="7">
        <v>0.59583333333333333</v>
      </c>
      <c r="W213" s="5">
        <v>44518</v>
      </c>
      <c r="X213" s="7">
        <v>0.42708333333333331</v>
      </c>
      <c r="Y213" s="22">
        <f t="shared" si="25"/>
        <v>7</v>
      </c>
      <c r="Z213" t="s">
        <v>401</v>
      </c>
      <c r="AA213" t="s">
        <v>401</v>
      </c>
      <c r="AB213">
        <v>2</v>
      </c>
      <c r="AC213" t="s">
        <v>287</v>
      </c>
      <c r="AD213" t="s">
        <v>287</v>
      </c>
      <c r="AE213" t="s">
        <v>244</v>
      </c>
      <c r="AF213" t="s">
        <v>402</v>
      </c>
      <c r="AG213" s="20">
        <v>7.5</v>
      </c>
      <c r="AH213" s="20">
        <v>6.5</v>
      </c>
      <c r="AI213" s="20">
        <v>10</v>
      </c>
      <c r="AJ213" s="22">
        <v>60</v>
      </c>
      <c r="AK213" s="22">
        <v>0</v>
      </c>
      <c r="AL213" s="22">
        <v>0</v>
      </c>
      <c r="AM213" s="77">
        <f t="shared" si="7"/>
        <v>1</v>
      </c>
      <c r="AN213" s="22" t="s">
        <v>246</v>
      </c>
      <c r="AO213" s="58">
        <v>2</v>
      </c>
      <c r="AP213" t="s">
        <v>234</v>
      </c>
      <c r="AQ213" s="22" t="s">
        <v>668</v>
      </c>
      <c r="AR213" t="s">
        <v>287</v>
      </c>
      <c r="AS213" t="s">
        <v>66</v>
      </c>
      <c r="AV213" t="s">
        <v>141</v>
      </c>
      <c r="AW213" t="s">
        <v>323</v>
      </c>
      <c r="AX213" t="s">
        <v>465</v>
      </c>
      <c r="AY213" t="s">
        <v>466</v>
      </c>
      <c r="AZ213" t="s">
        <v>287</v>
      </c>
      <c r="BA213" t="s">
        <v>141</v>
      </c>
    </row>
    <row r="214" spans="1:54" x14ac:dyDescent="0.6">
      <c r="A214" s="14" t="str">
        <f t="shared" si="22"/>
        <v>N</v>
      </c>
      <c r="B214" s="14" t="str">
        <f t="shared" si="23"/>
        <v>Y</v>
      </c>
      <c r="C214" s="14" t="s">
        <v>141</v>
      </c>
      <c r="D214" s="14" t="s">
        <v>141</v>
      </c>
      <c r="E214" s="14" t="s">
        <v>141</v>
      </c>
      <c r="F214" t="str">
        <f t="shared" si="21"/>
        <v>Y_Y</v>
      </c>
      <c r="G214" s="22">
        <v>114</v>
      </c>
      <c r="H214" t="s">
        <v>49</v>
      </c>
      <c r="I214" s="5">
        <v>44505</v>
      </c>
      <c r="J214" s="7">
        <v>0.59444444444444444</v>
      </c>
      <c r="K214" s="20">
        <v>12.5</v>
      </c>
      <c r="L214" s="20">
        <v>12.5</v>
      </c>
      <c r="M214" s="20">
        <v>19</v>
      </c>
      <c r="N214" t="s">
        <v>109</v>
      </c>
      <c r="O214" t="s">
        <v>143</v>
      </c>
      <c r="P214" s="22">
        <v>18</v>
      </c>
      <c r="Q214" t="s">
        <v>22</v>
      </c>
      <c r="R214" t="s">
        <v>271</v>
      </c>
      <c r="S214" s="56" t="s">
        <v>271</v>
      </c>
      <c r="T214">
        <f t="shared" si="24"/>
        <v>6</v>
      </c>
      <c r="U214" s="5">
        <v>44511</v>
      </c>
      <c r="V214" s="7">
        <v>0.59444444444444444</v>
      </c>
      <c r="W214" s="5">
        <v>44518</v>
      </c>
      <c r="X214" s="7">
        <v>0.4284722222222222</v>
      </c>
      <c r="Y214" s="22">
        <f t="shared" si="25"/>
        <v>7</v>
      </c>
      <c r="Z214" t="s">
        <v>390</v>
      </c>
      <c r="AA214" t="s">
        <v>390</v>
      </c>
      <c r="AB214">
        <v>1</v>
      </c>
      <c r="AC214" t="s">
        <v>284</v>
      </c>
      <c r="AD214" t="s">
        <v>284</v>
      </c>
      <c r="AE214" t="s">
        <v>242</v>
      </c>
      <c r="AF214" t="s">
        <v>120</v>
      </c>
      <c r="AG214" s="20">
        <v>7</v>
      </c>
      <c r="AH214" s="20">
        <v>4.5</v>
      </c>
      <c r="AI214" s="20">
        <v>4.5</v>
      </c>
      <c r="AJ214" s="22">
        <v>30</v>
      </c>
      <c r="AK214" s="22">
        <v>0</v>
      </c>
      <c r="AL214" s="22">
        <v>0</v>
      </c>
      <c r="AM214" s="77">
        <f t="shared" si="7"/>
        <v>1</v>
      </c>
      <c r="AN214" s="22" t="s">
        <v>247</v>
      </c>
      <c r="AO214" s="58">
        <v>1</v>
      </c>
      <c r="AP214" t="s">
        <v>234</v>
      </c>
      <c r="AQ214" s="22" t="s">
        <v>668</v>
      </c>
      <c r="AR214" t="s">
        <v>66</v>
      </c>
      <c r="AS214" t="s">
        <v>284</v>
      </c>
      <c r="AV214" t="s">
        <v>141</v>
      </c>
      <c r="AW214" t="s">
        <v>463</v>
      </c>
      <c r="AX214" t="s">
        <v>182</v>
      </c>
      <c r="AY214" t="s">
        <v>182</v>
      </c>
      <c r="AZ214" t="s">
        <v>240</v>
      </c>
      <c r="BA214" t="s">
        <v>141</v>
      </c>
    </row>
    <row r="215" spans="1:54" x14ac:dyDescent="0.6">
      <c r="A215" s="14" t="str">
        <f t="shared" si="22"/>
        <v>N</v>
      </c>
      <c r="B215" s="14" t="str">
        <f t="shared" si="23"/>
        <v>Y</v>
      </c>
      <c r="C215" s="14" t="s">
        <v>141</v>
      </c>
      <c r="D215" s="14" t="s">
        <v>141</v>
      </c>
      <c r="E215" s="14" t="s">
        <v>141</v>
      </c>
      <c r="F215" t="str">
        <f t="shared" si="21"/>
        <v>Y_Y</v>
      </c>
      <c r="G215" s="22">
        <v>114</v>
      </c>
      <c r="H215" t="s">
        <v>49</v>
      </c>
      <c r="I215" s="5">
        <v>44505</v>
      </c>
      <c r="J215" s="7">
        <v>0.59444444444444444</v>
      </c>
      <c r="K215" s="20">
        <v>12.5</v>
      </c>
      <c r="L215" s="20">
        <v>12.5</v>
      </c>
      <c r="M215" s="20">
        <v>19</v>
      </c>
      <c r="N215" t="s">
        <v>109</v>
      </c>
      <c r="O215" t="s">
        <v>143</v>
      </c>
      <c r="P215" s="22">
        <v>18</v>
      </c>
      <c r="Q215" t="s">
        <v>22</v>
      </c>
      <c r="R215" t="s">
        <v>271</v>
      </c>
      <c r="S215" s="56" t="s">
        <v>271</v>
      </c>
      <c r="T215">
        <f t="shared" si="24"/>
        <v>6</v>
      </c>
      <c r="U215" s="5">
        <v>44511</v>
      </c>
      <c r="V215" s="7">
        <v>0.59444444444444444</v>
      </c>
      <c r="W215" s="5">
        <v>44518</v>
      </c>
      <c r="X215" s="7">
        <v>0.4284722222222222</v>
      </c>
      <c r="Y215" s="22">
        <f t="shared" si="25"/>
        <v>7</v>
      </c>
      <c r="Z215" t="s">
        <v>390</v>
      </c>
      <c r="AA215" t="s">
        <v>390</v>
      </c>
      <c r="AB215">
        <v>2</v>
      </c>
      <c r="AC215" t="s">
        <v>66</v>
      </c>
      <c r="AD215" t="s">
        <v>351</v>
      </c>
      <c r="AE215" t="s">
        <v>244</v>
      </c>
      <c r="AF215" t="s">
        <v>67</v>
      </c>
      <c r="AG215" s="20">
        <v>6</v>
      </c>
      <c r="AH215" s="20">
        <v>3</v>
      </c>
      <c r="AI215" s="20">
        <v>7.5</v>
      </c>
      <c r="AJ215" s="22">
        <v>90</v>
      </c>
      <c r="AK215" s="22">
        <v>0</v>
      </c>
      <c r="AL215" s="22">
        <v>0</v>
      </c>
      <c r="AM215" s="77">
        <f t="shared" si="7"/>
        <v>1</v>
      </c>
      <c r="AN215" s="22" t="s">
        <v>246</v>
      </c>
      <c r="AO215" s="58">
        <v>2</v>
      </c>
      <c r="AP215" t="s">
        <v>234</v>
      </c>
      <c r="AQ215" s="22" t="s">
        <v>668</v>
      </c>
      <c r="AR215" t="s">
        <v>66</v>
      </c>
      <c r="AS215" t="s">
        <v>284</v>
      </c>
      <c r="AV215" t="s">
        <v>141</v>
      </c>
      <c r="AW215" t="s">
        <v>467</v>
      </c>
      <c r="AX215" t="s">
        <v>182</v>
      </c>
      <c r="AY215" t="s">
        <v>182</v>
      </c>
      <c r="AZ215" t="s">
        <v>240</v>
      </c>
      <c r="BA215" t="s">
        <v>141</v>
      </c>
    </row>
    <row r="216" spans="1:54" x14ac:dyDescent="0.6">
      <c r="A216" s="14" t="str">
        <f t="shared" si="22"/>
        <v>N</v>
      </c>
      <c r="B216" s="14" t="str">
        <f t="shared" si="23"/>
        <v>N</v>
      </c>
      <c r="C216" s="14" t="s">
        <v>141</v>
      </c>
      <c r="D216" s="14" t="s">
        <v>141</v>
      </c>
      <c r="E216" s="14" t="s">
        <v>141</v>
      </c>
      <c r="F216" t="str">
        <f t="shared" si="21"/>
        <v>Y_Y</v>
      </c>
      <c r="G216" s="22">
        <v>115</v>
      </c>
      <c r="H216" t="s">
        <v>260</v>
      </c>
      <c r="I216" s="5">
        <v>44505</v>
      </c>
      <c r="J216" s="7">
        <v>0.59444444444444444</v>
      </c>
      <c r="K216" s="20">
        <v>11</v>
      </c>
      <c r="L216" s="20">
        <v>11</v>
      </c>
      <c r="M216" s="20">
        <v>18</v>
      </c>
      <c r="N216" t="s">
        <v>71</v>
      </c>
      <c r="O216" t="s">
        <v>455</v>
      </c>
      <c r="P216" s="22">
        <v>40</v>
      </c>
      <c r="Q216" t="s">
        <v>56</v>
      </c>
      <c r="R216" t="s">
        <v>213</v>
      </c>
      <c r="S216" s="56" t="s">
        <v>213</v>
      </c>
      <c r="T216">
        <f t="shared" si="24"/>
        <v>6</v>
      </c>
      <c r="U216" s="5">
        <v>44511</v>
      </c>
      <c r="V216" s="7">
        <v>0.59305555555555556</v>
      </c>
      <c r="W216" s="5">
        <v>44514</v>
      </c>
      <c r="X216" s="7">
        <v>0.77083333333333337</v>
      </c>
      <c r="Y216" s="22">
        <f t="shared" si="25"/>
        <v>3</v>
      </c>
      <c r="Z216" t="s">
        <v>390</v>
      </c>
      <c r="AA216" t="s">
        <v>390</v>
      </c>
      <c r="AB216">
        <v>1</v>
      </c>
      <c r="AC216" t="s">
        <v>284</v>
      </c>
      <c r="AD216" t="s">
        <v>284</v>
      </c>
      <c r="AE216" t="s">
        <v>244</v>
      </c>
      <c r="AF216" t="s">
        <v>120</v>
      </c>
      <c r="AG216" s="20">
        <v>18.5</v>
      </c>
      <c r="AH216" s="20">
        <v>8.5</v>
      </c>
      <c r="AI216" s="20">
        <v>8.5</v>
      </c>
      <c r="AJ216" s="22">
        <v>20</v>
      </c>
      <c r="AK216" s="22">
        <v>0</v>
      </c>
      <c r="AL216" s="22">
        <v>5</v>
      </c>
      <c r="AM216" s="77">
        <f t="shared" si="7"/>
        <v>0.75</v>
      </c>
      <c r="AN216" s="22" t="s">
        <v>246</v>
      </c>
      <c r="AO216" s="58">
        <v>2</v>
      </c>
      <c r="AP216" t="s">
        <v>234</v>
      </c>
      <c r="AQ216" s="22" t="s">
        <v>668</v>
      </c>
      <c r="AR216" t="s">
        <v>284</v>
      </c>
      <c r="AS216" t="s">
        <v>66</v>
      </c>
      <c r="AV216" t="s">
        <v>141</v>
      </c>
      <c r="AW216" t="s">
        <v>467</v>
      </c>
      <c r="AX216" t="s">
        <v>182</v>
      </c>
      <c r="AY216" t="s">
        <v>182</v>
      </c>
      <c r="AZ216" t="s">
        <v>284</v>
      </c>
      <c r="BA216" t="s">
        <v>141</v>
      </c>
    </row>
    <row r="217" spans="1:54" x14ac:dyDescent="0.6">
      <c r="A217" s="14" t="str">
        <f t="shared" si="22"/>
        <v>N</v>
      </c>
      <c r="B217" s="14" t="str">
        <f t="shared" si="23"/>
        <v>N</v>
      </c>
      <c r="C217" s="14" t="s">
        <v>141</v>
      </c>
      <c r="D217" s="14" t="s">
        <v>141</v>
      </c>
      <c r="E217" s="14" t="s">
        <v>141</v>
      </c>
      <c r="F217" t="str">
        <f t="shared" si="21"/>
        <v>Y_Y</v>
      </c>
      <c r="G217" s="22">
        <v>115</v>
      </c>
      <c r="H217" t="s">
        <v>260</v>
      </c>
      <c r="I217" s="5">
        <v>44505</v>
      </c>
      <c r="J217" s="7">
        <v>0.59444444444444444</v>
      </c>
      <c r="K217" s="20">
        <v>11</v>
      </c>
      <c r="L217" s="20">
        <v>11</v>
      </c>
      <c r="M217" s="20">
        <v>18</v>
      </c>
      <c r="N217" t="s">
        <v>71</v>
      </c>
      <c r="O217" t="s">
        <v>455</v>
      </c>
      <c r="P217" s="22">
        <v>40</v>
      </c>
      <c r="Q217" t="s">
        <v>56</v>
      </c>
      <c r="R217" t="s">
        <v>213</v>
      </c>
      <c r="S217" s="56" t="s">
        <v>213</v>
      </c>
      <c r="T217">
        <f t="shared" si="24"/>
        <v>6</v>
      </c>
      <c r="U217" s="5">
        <v>44511</v>
      </c>
      <c r="V217" s="7">
        <v>0.59305555555555556</v>
      </c>
      <c r="W217" s="5">
        <v>44514</v>
      </c>
      <c r="X217" s="7">
        <v>0.77083333333333337</v>
      </c>
      <c r="Y217" s="22">
        <f t="shared" si="25"/>
        <v>3</v>
      </c>
      <c r="Z217" t="s">
        <v>390</v>
      </c>
      <c r="AA217" t="s">
        <v>390</v>
      </c>
      <c r="AB217">
        <v>2</v>
      </c>
      <c r="AC217" t="s">
        <v>66</v>
      </c>
      <c r="AD217" t="s">
        <v>351</v>
      </c>
      <c r="AE217" t="s">
        <v>242</v>
      </c>
      <c r="AF217" t="s">
        <v>67</v>
      </c>
      <c r="AG217" s="20">
        <v>4.5</v>
      </c>
      <c r="AH217" s="20">
        <v>2.5</v>
      </c>
      <c r="AI217" s="20">
        <v>6</v>
      </c>
      <c r="AJ217" s="22">
        <v>80</v>
      </c>
      <c r="AK217" s="22">
        <v>0</v>
      </c>
      <c r="AL217" s="22">
        <v>0</v>
      </c>
      <c r="AM217" s="77">
        <f t="shared" si="7"/>
        <v>1</v>
      </c>
      <c r="AN217" s="22" t="s">
        <v>247</v>
      </c>
      <c r="AO217" s="58">
        <v>1</v>
      </c>
      <c r="AP217" t="s">
        <v>234</v>
      </c>
      <c r="AQ217" s="22" t="s">
        <v>668</v>
      </c>
      <c r="AR217" t="s">
        <v>284</v>
      </c>
      <c r="AS217" t="s">
        <v>66</v>
      </c>
      <c r="AV217" t="s">
        <v>141</v>
      </c>
      <c r="AW217" t="s">
        <v>468</v>
      </c>
      <c r="AX217" t="s">
        <v>182</v>
      </c>
      <c r="AY217" t="s">
        <v>182</v>
      </c>
      <c r="AZ217" t="s">
        <v>284</v>
      </c>
      <c r="BA217" t="s">
        <v>141</v>
      </c>
    </row>
    <row r="218" spans="1:54" x14ac:dyDescent="0.6">
      <c r="A218" s="14" t="str">
        <f t="shared" si="22"/>
        <v>N</v>
      </c>
      <c r="B218" s="14" t="str">
        <f t="shared" si="23"/>
        <v>N</v>
      </c>
      <c r="C218" s="14" t="s">
        <v>141</v>
      </c>
      <c r="D218" s="14" t="s">
        <v>63</v>
      </c>
      <c r="E218" s="14" t="s">
        <v>141</v>
      </c>
      <c r="F218" t="str">
        <f t="shared" si="21"/>
        <v>N_Y</v>
      </c>
      <c r="G218" s="22">
        <v>116</v>
      </c>
      <c r="H218" t="s">
        <v>498</v>
      </c>
      <c r="I218" s="5">
        <v>44691</v>
      </c>
      <c r="J218" s="7">
        <v>0.65625</v>
      </c>
      <c r="K218" s="20">
        <v>12</v>
      </c>
      <c r="L218" s="20">
        <v>12</v>
      </c>
      <c r="M218" s="20">
        <v>18</v>
      </c>
      <c r="N218" t="s">
        <v>55</v>
      </c>
      <c r="O218" t="s">
        <v>503</v>
      </c>
      <c r="P218" s="22">
        <v>21</v>
      </c>
      <c r="Q218" t="s">
        <v>56</v>
      </c>
      <c r="R218" t="s">
        <v>504</v>
      </c>
      <c r="S218" t="s">
        <v>63</v>
      </c>
      <c r="T218">
        <f t="shared" si="24"/>
        <v>15</v>
      </c>
      <c r="U218" s="5">
        <v>44706</v>
      </c>
      <c r="V218" s="7">
        <v>0.55972222222222223</v>
      </c>
      <c r="W218" s="5">
        <v>44721</v>
      </c>
      <c r="X218" s="7">
        <v>0.45694444444444443</v>
      </c>
      <c r="Y218" s="22">
        <f t="shared" si="25"/>
        <v>15</v>
      </c>
      <c r="Z218" t="s">
        <v>405</v>
      </c>
      <c r="AA218" t="s">
        <v>405</v>
      </c>
      <c r="AB218">
        <v>1</v>
      </c>
      <c r="AC218" t="s">
        <v>98</v>
      </c>
      <c r="AD218" t="s">
        <v>98</v>
      </c>
      <c r="AE218" t="s">
        <v>242</v>
      </c>
      <c r="AF218" t="s">
        <v>97</v>
      </c>
      <c r="AG218" s="20">
        <v>10</v>
      </c>
      <c r="AH218" s="20">
        <v>7.5</v>
      </c>
      <c r="AI218" s="20">
        <v>3.5</v>
      </c>
      <c r="AJ218" s="22">
        <v>95</v>
      </c>
      <c r="AK218" s="22">
        <v>0</v>
      </c>
      <c r="AL218" s="22">
        <v>95</v>
      </c>
      <c r="AM218" s="77">
        <f t="shared" si="7"/>
        <v>0</v>
      </c>
      <c r="AN218" s="22" t="s">
        <v>245</v>
      </c>
      <c r="AO218" s="58">
        <v>0</v>
      </c>
      <c r="AP218" t="s">
        <v>233</v>
      </c>
      <c r="AQ218" s="22" t="s">
        <v>669</v>
      </c>
      <c r="AT218" t="s">
        <v>98</v>
      </c>
      <c r="AU218" t="s">
        <v>119</v>
      </c>
      <c r="AV218" t="s">
        <v>324</v>
      </c>
      <c r="AW218" t="s">
        <v>182</v>
      </c>
      <c r="AX218" t="s">
        <v>182</v>
      </c>
      <c r="AY218" t="s">
        <v>182</v>
      </c>
      <c r="AZ218" t="s">
        <v>458</v>
      </c>
      <c r="BA218" t="s">
        <v>458</v>
      </c>
    </row>
    <row r="219" spans="1:54" x14ac:dyDescent="0.6">
      <c r="A219" s="14" t="str">
        <f t="shared" si="22"/>
        <v>N</v>
      </c>
      <c r="B219" s="14" t="str">
        <f t="shared" si="23"/>
        <v>N</v>
      </c>
      <c r="C219" s="14" t="s">
        <v>141</v>
      </c>
      <c r="D219" s="14" t="s">
        <v>63</v>
      </c>
      <c r="E219" s="14" t="s">
        <v>141</v>
      </c>
      <c r="F219" t="str">
        <f t="shared" si="21"/>
        <v>N_Y</v>
      </c>
      <c r="G219" s="22">
        <v>116</v>
      </c>
      <c r="H219" t="s">
        <v>498</v>
      </c>
      <c r="I219" s="5">
        <v>44691</v>
      </c>
      <c r="J219" s="7">
        <v>0.65625</v>
      </c>
      <c r="K219" s="20">
        <v>12</v>
      </c>
      <c r="L219" s="20">
        <v>12</v>
      </c>
      <c r="M219" s="20">
        <v>18</v>
      </c>
      <c r="N219" t="s">
        <v>55</v>
      </c>
      <c r="O219" t="s">
        <v>503</v>
      </c>
      <c r="P219" s="22">
        <v>21</v>
      </c>
      <c r="Q219" t="s">
        <v>56</v>
      </c>
      <c r="R219" t="s">
        <v>504</v>
      </c>
      <c r="S219" t="s">
        <v>63</v>
      </c>
      <c r="T219">
        <f t="shared" si="24"/>
        <v>15</v>
      </c>
      <c r="U219" s="5">
        <v>44706</v>
      </c>
      <c r="V219" s="7">
        <v>0.55972222222222223</v>
      </c>
      <c r="W219" s="5">
        <v>44721</v>
      </c>
      <c r="X219" s="7">
        <v>0.45694444444444443</v>
      </c>
      <c r="Y219" s="22">
        <f t="shared" si="25"/>
        <v>15</v>
      </c>
      <c r="Z219" t="s">
        <v>405</v>
      </c>
      <c r="AA219" t="s">
        <v>405</v>
      </c>
      <c r="AB219">
        <v>2</v>
      </c>
      <c r="AC219" t="s">
        <v>119</v>
      </c>
      <c r="AD219" t="s">
        <v>119</v>
      </c>
      <c r="AE219" t="s">
        <v>244</v>
      </c>
      <c r="AF219" t="s">
        <v>120</v>
      </c>
      <c r="AG219" s="20">
        <v>14</v>
      </c>
      <c r="AH219" s="20">
        <v>12.5</v>
      </c>
      <c r="AI219" s="20">
        <v>6.5</v>
      </c>
      <c r="AJ219" s="22">
        <v>60</v>
      </c>
      <c r="AK219" s="22">
        <v>0</v>
      </c>
      <c r="AL219" s="22">
        <v>60</v>
      </c>
      <c r="AM219" s="77">
        <f t="shared" si="7"/>
        <v>0</v>
      </c>
      <c r="AN219" s="22" t="s">
        <v>245</v>
      </c>
      <c r="AO219" s="58">
        <v>0</v>
      </c>
      <c r="AP219" t="s">
        <v>233</v>
      </c>
      <c r="AQ219" s="22" t="s">
        <v>669</v>
      </c>
      <c r="AT219" t="s">
        <v>98</v>
      </c>
      <c r="AU219" t="s">
        <v>119</v>
      </c>
      <c r="AV219" t="s">
        <v>324</v>
      </c>
      <c r="AW219" t="s">
        <v>182</v>
      </c>
      <c r="AX219" t="s">
        <v>182</v>
      </c>
      <c r="AY219" t="s">
        <v>182</v>
      </c>
      <c r="AZ219" t="s">
        <v>458</v>
      </c>
      <c r="BA219" t="s">
        <v>458</v>
      </c>
    </row>
    <row r="220" spans="1:54" x14ac:dyDescent="0.6">
      <c r="A220" s="14" t="str">
        <f t="shared" si="22"/>
        <v>N</v>
      </c>
      <c r="B220" s="14" t="str">
        <f t="shared" si="23"/>
        <v>N</v>
      </c>
      <c r="C220" s="14" t="s">
        <v>141</v>
      </c>
      <c r="D220" s="14" t="s">
        <v>63</v>
      </c>
      <c r="E220" s="14" t="s">
        <v>141</v>
      </c>
      <c r="F220" t="str">
        <f t="shared" si="21"/>
        <v>N_Y</v>
      </c>
      <c r="G220" s="22">
        <v>117</v>
      </c>
      <c r="H220" t="s">
        <v>499</v>
      </c>
      <c r="I220" s="5">
        <v>44691</v>
      </c>
      <c r="J220" s="7">
        <v>0.65625</v>
      </c>
      <c r="K220" s="20">
        <v>10</v>
      </c>
      <c r="L220" s="20">
        <v>11.5</v>
      </c>
      <c r="M220" s="20">
        <v>18</v>
      </c>
      <c r="N220" t="s">
        <v>55</v>
      </c>
      <c r="O220" t="s">
        <v>503</v>
      </c>
      <c r="P220" s="22">
        <v>21</v>
      </c>
      <c r="Q220" t="s">
        <v>307</v>
      </c>
      <c r="R220" t="s">
        <v>505</v>
      </c>
      <c r="S220" t="s">
        <v>63</v>
      </c>
      <c r="T220">
        <f t="shared" si="24"/>
        <v>15</v>
      </c>
      <c r="U220" s="5">
        <v>44706</v>
      </c>
      <c r="V220" s="7">
        <v>0.56805555555555554</v>
      </c>
      <c r="W220" s="5">
        <v>44721</v>
      </c>
      <c r="X220" s="7">
        <v>0.44861111111111113</v>
      </c>
      <c r="Y220" s="22">
        <f t="shared" si="25"/>
        <v>15</v>
      </c>
      <c r="Z220" t="s">
        <v>447</v>
      </c>
      <c r="AA220" t="s">
        <v>447</v>
      </c>
      <c r="AB220">
        <v>1</v>
      </c>
      <c r="AC220" t="s">
        <v>288</v>
      </c>
      <c r="AD220" t="s">
        <v>288</v>
      </c>
      <c r="AE220" t="s">
        <v>242</v>
      </c>
      <c r="AF220" t="s">
        <v>120</v>
      </c>
      <c r="AG220" s="20">
        <v>10</v>
      </c>
      <c r="AH220" s="20">
        <v>8</v>
      </c>
      <c r="AI220" s="20">
        <v>6</v>
      </c>
      <c r="AJ220" s="22">
        <v>40</v>
      </c>
      <c r="AK220" s="22">
        <v>0</v>
      </c>
      <c r="AL220" s="22">
        <v>40</v>
      </c>
      <c r="AM220" s="77">
        <f t="shared" si="7"/>
        <v>0</v>
      </c>
      <c r="AN220" s="22" t="s">
        <v>245</v>
      </c>
      <c r="AO220" s="58">
        <v>0</v>
      </c>
      <c r="AP220" t="s">
        <v>233</v>
      </c>
      <c r="AQ220" s="22" t="s">
        <v>669</v>
      </c>
      <c r="AT220" t="s">
        <v>288</v>
      </c>
      <c r="AU220" t="s">
        <v>117</v>
      </c>
      <c r="AV220" t="s">
        <v>324</v>
      </c>
      <c r="AW220" t="s">
        <v>182</v>
      </c>
      <c r="AX220" t="s">
        <v>182</v>
      </c>
      <c r="AY220" t="s">
        <v>182</v>
      </c>
      <c r="AZ220" t="s">
        <v>458</v>
      </c>
      <c r="BA220" t="s">
        <v>458</v>
      </c>
    </row>
    <row r="221" spans="1:54" x14ac:dyDescent="0.6">
      <c r="A221" s="14" t="str">
        <f t="shared" si="22"/>
        <v>N</v>
      </c>
      <c r="B221" s="14" t="str">
        <f t="shared" si="23"/>
        <v>N</v>
      </c>
      <c r="C221" s="14" t="s">
        <v>141</v>
      </c>
      <c r="D221" s="14" t="s">
        <v>63</v>
      </c>
      <c r="E221" s="14" t="s">
        <v>141</v>
      </c>
      <c r="F221" t="str">
        <f t="shared" si="21"/>
        <v>N_Y</v>
      </c>
      <c r="G221" s="22">
        <v>117</v>
      </c>
      <c r="H221" t="s">
        <v>499</v>
      </c>
      <c r="I221" s="5">
        <v>44691</v>
      </c>
      <c r="J221" s="7">
        <v>0.65625</v>
      </c>
      <c r="K221" s="20">
        <v>10</v>
      </c>
      <c r="L221" s="20">
        <v>11.5</v>
      </c>
      <c r="M221" s="20">
        <v>18</v>
      </c>
      <c r="N221" t="s">
        <v>55</v>
      </c>
      <c r="O221" t="s">
        <v>503</v>
      </c>
      <c r="P221" s="22">
        <v>21</v>
      </c>
      <c r="Q221" t="s">
        <v>307</v>
      </c>
      <c r="R221" t="s">
        <v>505</v>
      </c>
      <c r="S221" t="s">
        <v>63</v>
      </c>
      <c r="T221">
        <f t="shared" si="24"/>
        <v>15</v>
      </c>
      <c r="U221" s="5">
        <v>44706</v>
      </c>
      <c r="V221" s="7">
        <v>0.56805555555555554</v>
      </c>
      <c r="W221" s="5">
        <v>44721</v>
      </c>
      <c r="X221" s="7">
        <v>0.44861111111111113</v>
      </c>
      <c r="Y221" s="22">
        <f t="shared" si="25"/>
        <v>15</v>
      </c>
      <c r="Z221" t="s">
        <v>447</v>
      </c>
      <c r="AA221" t="s">
        <v>447</v>
      </c>
      <c r="AB221">
        <v>2</v>
      </c>
      <c r="AC221" t="s">
        <v>117</v>
      </c>
      <c r="AD221" t="s">
        <v>117</v>
      </c>
      <c r="AE221" t="s">
        <v>244</v>
      </c>
      <c r="AF221" t="s">
        <v>120</v>
      </c>
      <c r="AG221" s="20">
        <v>10.5</v>
      </c>
      <c r="AH221" s="20">
        <v>7.5</v>
      </c>
      <c r="AI221" s="20">
        <v>4</v>
      </c>
      <c r="AJ221" s="22">
        <v>25</v>
      </c>
      <c r="AK221" s="22">
        <v>0</v>
      </c>
      <c r="AL221" s="22">
        <v>25</v>
      </c>
      <c r="AM221" s="77">
        <f t="shared" si="7"/>
        <v>0</v>
      </c>
      <c r="AN221" s="22" t="s">
        <v>245</v>
      </c>
      <c r="AO221" s="58">
        <v>0</v>
      </c>
      <c r="AP221" t="s">
        <v>233</v>
      </c>
      <c r="AQ221" s="22" t="s">
        <v>669</v>
      </c>
      <c r="AT221" t="s">
        <v>288</v>
      </c>
      <c r="AU221" t="s">
        <v>117</v>
      </c>
      <c r="AV221" t="s">
        <v>324</v>
      </c>
      <c r="AW221" t="s">
        <v>182</v>
      </c>
      <c r="AX221" t="s">
        <v>182</v>
      </c>
      <c r="AY221" t="s">
        <v>182</v>
      </c>
      <c r="AZ221" t="s">
        <v>458</v>
      </c>
      <c r="BA221" t="s">
        <v>458</v>
      </c>
    </row>
    <row r="222" spans="1:54" x14ac:dyDescent="0.6">
      <c r="A222" s="14" t="str">
        <f t="shared" si="22"/>
        <v>N</v>
      </c>
      <c r="B222" s="14" t="str">
        <f t="shared" si="23"/>
        <v>N</v>
      </c>
      <c r="C222" s="14" t="s">
        <v>141</v>
      </c>
      <c r="D222" s="14" t="s">
        <v>63</v>
      </c>
      <c r="E222" s="14" t="s">
        <v>141</v>
      </c>
      <c r="F222" t="str">
        <f t="shared" si="21"/>
        <v>N_Y</v>
      </c>
      <c r="G222" s="22">
        <v>118</v>
      </c>
      <c r="H222" t="s">
        <v>500</v>
      </c>
      <c r="I222" s="5">
        <v>44691</v>
      </c>
      <c r="J222" s="7">
        <v>0.65625</v>
      </c>
      <c r="K222" s="20">
        <v>10</v>
      </c>
      <c r="L222" s="20">
        <v>11</v>
      </c>
      <c r="M222" s="20">
        <v>16</v>
      </c>
      <c r="N222" t="s">
        <v>71</v>
      </c>
      <c r="O222" t="s">
        <v>506</v>
      </c>
      <c r="P222" s="22">
        <v>44</v>
      </c>
      <c r="Q222" t="s">
        <v>56</v>
      </c>
      <c r="R222" t="s">
        <v>507</v>
      </c>
      <c r="S222" s="56" t="s">
        <v>507</v>
      </c>
      <c r="T222">
        <f t="shared" si="24"/>
        <v>15</v>
      </c>
      <c r="U222" s="5">
        <v>44706</v>
      </c>
      <c r="V222" s="7">
        <v>0.57986111111111105</v>
      </c>
      <c r="W222" s="5">
        <v>44721</v>
      </c>
      <c r="X222" s="7">
        <v>0.44097222222222227</v>
      </c>
      <c r="Y222" s="22">
        <f t="shared" si="25"/>
        <v>15</v>
      </c>
      <c r="Z222" t="s">
        <v>390</v>
      </c>
      <c r="AA222" t="s">
        <v>390</v>
      </c>
      <c r="AB222">
        <v>1</v>
      </c>
      <c r="AC222" t="s">
        <v>66</v>
      </c>
      <c r="AD222" t="s">
        <v>351</v>
      </c>
      <c r="AE222" t="s">
        <v>242</v>
      </c>
      <c r="AF222" t="s">
        <v>67</v>
      </c>
      <c r="AG222" s="20">
        <v>5</v>
      </c>
      <c r="AH222" s="20">
        <v>3.5</v>
      </c>
      <c r="AI222" s="20">
        <v>6</v>
      </c>
      <c r="AJ222" s="22">
        <v>65</v>
      </c>
      <c r="AK222" s="22">
        <v>0</v>
      </c>
      <c r="AL222" s="22">
        <v>0</v>
      </c>
      <c r="AM222" s="77">
        <f t="shared" si="7"/>
        <v>1</v>
      </c>
      <c r="AN222" s="22" t="s">
        <v>226</v>
      </c>
      <c r="AO222" s="58">
        <v>0.5</v>
      </c>
      <c r="AP222" t="s">
        <v>234</v>
      </c>
      <c r="AQ222" s="22" t="s">
        <v>668</v>
      </c>
      <c r="AR222" t="s">
        <v>159</v>
      </c>
      <c r="AV222" t="s">
        <v>226</v>
      </c>
      <c r="AW222" t="s">
        <v>182</v>
      </c>
      <c r="AX222" t="s">
        <v>182</v>
      </c>
      <c r="AY222" t="s">
        <v>182</v>
      </c>
      <c r="AZ222" t="s">
        <v>458</v>
      </c>
      <c r="BA222" t="s">
        <v>458</v>
      </c>
    </row>
    <row r="223" spans="1:54" x14ac:dyDescent="0.6">
      <c r="A223" s="14" t="str">
        <f t="shared" si="22"/>
        <v>N</v>
      </c>
      <c r="B223" s="14" t="str">
        <f t="shared" si="23"/>
        <v>N</v>
      </c>
      <c r="C223" s="14" t="s">
        <v>141</v>
      </c>
      <c r="D223" s="14" t="s">
        <v>63</v>
      </c>
      <c r="E223" s="14" t="s">
        <v>141</v>
      </c>
      <c r="F223" t="str">
        <f t="shared" si="21"/>
        <v>N_Y</v>
      </c>
      <c r="G223" s="22">
        <v>118</v>
      </c>
      <c r="H223" t="s">
        <v>500</v>
      </c>
      <c r="I223" s="5">
        <v>44691</v>
      </c>
      <c r="J223" s="7">
        <v>0.65625</v>
      </c>
      <c r="K223" s="20">
        <v>10</v>
      </c>
      <c r="L223" s="20">
        <v>11</v>
      </c>
      <c r="M223" s="20">
        <v>16</v>
      </c>
      <c r="N223" t="s">
        <v>71</v>
      </c>
      <c r="O223" t="s">
        <v>506</v>
      </c>
      <c r="P223" s="22">
        <v>44</v>
      </c>
      <c r="Q223" t="s">
        <v>56</v>
      </c>
      <c r="R223" t="s">
        <v>507</v>
      </c>
      <c r="S223" s="56" t="s">
        <v>507</v>
      </c>
      <c r="T223">
        <f t="shared" si="24"/>
        <v>15</v>
      </c>
      <c r="U223" s="5">
        <v>44706</v>
      </c>
      <c r="V223" s="7">
        <v>0.57986111111111105</v>
      </c>
      <c r="W223" s="5">
        <v>44721</v>
      </c>
      <c r="X223" s="7">
        <v>0.44097222222222227</v>
      </c>
      <c r="Y223" s="22">
        <f t="shared" si="25"/>
        <v>15</v>
      </c>
      <c r="Z223" t="s">
        <v>390</v>
      </c>
      <c r="AA223" t="s">
        <v>390</v>
      </c>
      <c r="AB223">
        <v>2</v>
      </c>
      <c r="AC223" t="s">
        <v>284</v>
      </c>
      <c r="AD223" t="s">
        <v>284</v>
      </c>
      <c r="AE223" t="s">
        <v>244</v>
      </c>
      <c r="AF223" t="s">
        <v>120</v>
      </c>
      <c r="AG223" s="20">
        <v>5.5</v>
      </c>
      <c r="AH223" s="20">
        <v>4.5</v>
      </c>
      <c r="AI223" s="20">
        <v>3</v>
      </c>
      <c r="AJ223" s="22">
        <v>40</v>
      </c>
      <c r="AK223" s="22">
        <v>0</v>
      </c>
      <c r="AL223" s="22">
        <v>0</v>
      </c>
      <c r="AM223" s="77">
        <f t="shared" si="7"/>
        <v>1</v>
      </c>
      <c r="AN223" s="22" t="s">
        <v>226</v>
      </c>
      <c r="AO223" s="58">
        <v>0.5</v>
      </c>
      <c r="AP223" t="s">
        <v>234</v>
      </c>
      <c r="AQ223" s="22" t="s">
        <v>668</v>
      </c>
      <c r="AR223" t="s">
        <v>159</v>
      </c>
      <c r="AV223" t="s">
        <v>226</v>
      </c>
      <c r="AW223" t="s">
        <v>182</v>
      </c>
      <c r="AX223" t="s">
        <v>182</v>
      </c>
      <c r="AY223" t="s">
        <v>182</v>
      </c>
      <c r="AZ223" t="s">
        <v>458</v>
      </c>
      <c r="BA223" t="s">
        <v>458</v>
      </c>
    </row>
    <row r="224" spans="1:54" x14ac:dyDescent="0.6">
      <c r="A224" s="14" t="str">
        <f t="shared" si="22"/>
        <v>N</v>
      </c>
      <c r="B224" s="14" t="str">
        <f t="shared" si="23"/>
        <v>N</v>
      </c>
      <c r="C224" s="14" t="s">
        <v>141</v>
      </c>
      <c r="D224" s="14" t="s">
        <v>63</v>
      </c>
      <c r="E224" s="14" t="s">
        <v>141</v>
      </c>
      <c r="F224" t="str">
        <f t="shared" si="21"/>
        <v>N_Y</v>
      </c>
      <c r="G224" s="22">
        <v>120</v>
      </c>
      <c r="H224" t="s">
        <v>502</v>
      </c>
      <c r="I224" s="5">
        <v>44691</v>
      </c>
      <c r="J224" s="7">
        <v>0.65625</v>
      </c>
      <c r="K224" s="20">
        <v>11.5</v>
      </c>
      <c r="L224" s="20">
        <v>12</v>
      </c>
      <c r="M224" s="20">
        <v>20</v>
      </c>
      <c r="N224" t="s">
        <v>55</v>
      </c>
      <c r="O224" t="s">
        <v>503</v>
      </c>
      <c r="P224" s="22">
        <v>21</v>
      </c>
      <c r="Q224" t="s">
        <v>42</v>
      </c>
      <c r="R224" t="s">
        <v>508</v>
      </c>
      <c r="S224" t="s">
        <v>63</v>
      </c>
      <c r="T224">
        <f t="shared" si="24"/>
        <v>15</v>
      </c>
      <c r="U224" s="5">
        <v>44706</v>
      </c>
      <c r="V224" s="7">
        <v>0.59027777777777779</v>
      </c>
      <c r="W224" s="5">
        <v>44721</v>
      </c>
      <c r="X224" s="7">
        <v>0.4381944444444445</v>
      </c>
      <c r="Y224" s="22">
        <f t="shared" si="25"/>
        <v>15</v>
      </c>
      <c r="Z224" t="s">
        <v>511</v>
      </c>
      <c r="AA224" t="s">
        <v>511</v>
      </c>
      <c r="AB224">
        <v>1</v>
      </c>
      <c r="AC224" t="s">
        <v>118</v>
      </c>
      <c r="AD224" t="s">
        <v>118</v>
      </c>
      <c r="AE224" t="s">
        <v>242</v>
      </c>
      <c r="AF224" t="s">
        <v>121</v>
      </c>
      <c r="AG224" s="20">
        <v>12</v>
      </c>
      <c r="AH224" s="20">
        <v>7</v>
      </c>
      <c r="AI224" s="20">
        <v>5.5</v>
      </c>
      <c r="AJ224" s="22">
        <v>60</v>
      </c>
      <c r="AK224" s="22">
        <v>0</v>
      </c>
      <c r="AL224" s="22">
        <v>1</v>
      </c>
      <c r="AM224" s="77">
        <f t="shared" si="7"/>
        <v>0.98333333333333328</v>
      </c>
      <c r="AN224" s="22" t="s">
        <v>246</v>
      </c>
      <c r="AO224" s="58">
        <v>2</v>
      </c>
      <c r="AP224" t="s">
        <v>234</v>
      </c>
      <c r="AQ224" s="22" t="s">
        <v>667</v>
      </c>
      <c r="AR224" t="s">
        <v>118</v>
      </c>
      <c r="AT224" t="s">
        <v>46</v>
      </c>
      <c r="AV224" t="s">
        <v>325</v>
      </c>
      <c r="AW224" t="s">
        <v>448</v>
      </c>
      <c r="AX224" s="28"/>
      <c r="AY224" t="s">
        <v>513</v>
      </c>
      <c r="AZ224" t="s">
        <v>458</v>
      </c>
      <c r="BA224" t="s">
        <v>458</v>
      </c>
      <c r="BB224" s="20" t="s">
        <v>514</v>
      </c>
    </row>
    <row r="225" spans="1:54" x14ac:dyDescent="0.6">
      <c r="A225" s="14" t="str">
        <f t="shared" si="22"/>
        <v>N</v>
      </c>
      <c r="B225" s="14" t="str">
        <f t="shared" si="23"/>
        <v>N</v>
      </c>
      <c r="C225" s="14" t="s">
        <v>141</v>
      </c>
      <c r="D225" s="14" t="s">
        <v>63</v>
      </c>
      <c r="E225" s="14" t="s">
        <v>141</v>
      </c>
      <c r="F225" t="str">
        <f>D225&amp;"_"&amp;E225</f>
        <v>N_Y</v>
      </c>
      <c r="G225" s="22">
        <v>120</v>
      </c>
      <c r="H225" t="s">
        <v>502</v>
      </c>
      <c r="I225" s="5">
        <v>44691</v>
      </c>
      <c r="J225" s="7">
        <v>0.65625</v>
      </c>
      <c r="K225" s="20">
        <v>11.5</v>
      </c>
      <c r="L225" s="20">
        <v>12</v>
      </c>
      <c r="M225" s="20">
        <v>20</v>
      </c>
      <c r="N225" t="s">
        <v>55</v>
      </c>
      <c r="O225" t="s">
        <v>503</v>
      </c>
      <c r="P225" s="22">
        <v>21</v>
      </c>
      <c r="Q225" t="s">
        <v>42</v>
      </c>
      <c r="R225" t="s">
        <v>508</v>
      </c>
      <c r="S225" t="s">
        <v>63</v>
      </c>
      <c r="T225">
        <f t="shared" si="24"/>
        <v>15</v>
      </c>
      <c r="U225" s="5">
        <v>44706</v>
      </c>
      <c r="V225" s="7">
        <v>0.59027777777777779</v>
      </c>
      <c r="W225" s="5">
        <v>44721</v>
      </c>
      <c r="X225" s="7">
        <v>0.4381944444444445</v>
      </c>
      <c r="Y225" s="22">
        <f t="shared" si="25"/>
        <v>15</v>
      </c>
      <c r="Z225" t="s">
        <v>511</v>
      </c>
      <c r="AA225" t="s">
        <v>511</v>
      </c>
      <c r="AB225">
        <v>2</v>
      </c>
      <c r="AC225" t="s">
        <v>46</v>
      </c>
      <c r="AD225" t="s">
        <v>352</v>
      </c>
      <c r="AE225" t="s">
        <v>244</v>
      </c>
      <c r="AF225" t="s">
        <v>47</v>
      </c>
      <c r="AG225" s="20">
        <v>11</v>
      </c>
      <c r="AH225" s="20">
        <v>7.5</v>
      </c>
      <c r="AI225" s="20">
        <v>4.5</v>
      </c>
      <c r="AJ225" s="22">
        <v>40</v>
      </c>
      <c r="AK225" s="22">
        <v>0</v>
      </c>
      <c r="AL225" s="22">
        <v>10</v>
      </c>
      <c r="AM225" s="77">
        <f t="shared" si="7"/>
        <v>0.75</v>
      </c>
      <c r="AN225" s="22" t="s">
        <v>245</v>
      </c>
      <c r="AO225" s="58">
        <v>0</v>
      </c>
      <c r="AP225" t="s">
        <v>233</v>
      </c>
      <c r="AQ225" s="22" t="s">
        <v>667</v>
      </c>
      <c r="AR225" t="s">
        <v>118</v>
      </c>
      <c r="AT225" t="s">
        <v>46</v>
      </c>
      <c r="AV225" t="s">
        <v>325</v>
      </c>
      <c r="AW225" t="s">
        <v>182</v>
      </c>
      <c r="AX225" t="s">
        <v>182</v>
      </c>
      <c r="AY225" t="s">
        <v>182</v>
      </c>
      <c r="AZ225" t="s">
        <v>458</v>
      </c>
      <c r="BA225" t="s">
        <v>458</v>
      </c>
      <c r="BB225" s="20" t="s">
        <v>515</v>
      </c>
    </row>
    <row r="226" spans="1:54" x14ac:dyDescent="0.6">
      <c r="A226" s="14" t="str">
        <f t="shared" si="22"/>
        <v>N</v>
      </c>
      <c r="B226" s="14" t="str">
        <f t="shared" si="23"/>
        <v>N</v>
      </c>
      <c r="C226" s="14" t="s">
        <v>141</v>
      </c>
      <c r="D226" s="14" t="s">
        <v>63</v>
      </c>
      <c r="E226" s="14" t="s">
        <v>63</v>
      </c>
      <c r="F226" t="str">
        <f t="shared" ref="F226:F265" si="26">D226&amp;"_"&amp;E226</f>
        <v>N_N</v>
      </c>
      <c r="G226" s="22">
        <v>121</v>
      </c>
      <c r="H226" t="s">
        <v>498</v>
      </c>
      <c r="I226" s="5">
        <v>44706</v>
      </c>
      <c r="J226" s="7">
        <v>0.58680555555555558</v>
      </c>
      <c r="K226" s="20">
        <v>11</v>
      </c>
      <c r="L226" s="20">
        <v>11</v>
      </c>
      <c r="M226" s="20">
        <v>17</v>
      </c>
      <c r="N226" t="s">
        <v>88</v>
      </c>
      <c r="O226" t="s">
        <v>187</v>
      </c>
      <c r="P226" s="22">
        <v>31</v>
      </c>
      <c r="Q226" t="s">
        <v>56</v>
      </c>
      <c r="R226" t="s">
        <v>517</v>
      </c>
      <c r="S226" t="s">
        <v>63</v>
      </c>
      <c r="T226">
        <f t="shared" si="24"/>
        <v>15</v>
      </c>
      <c r="U226" s="5">
        <v>44721</v>
      </c>
      <c r="V226" s="7">
        <v>0.56388888888888888</v>
      </c>
      <c r="W226" s="5">
        <v>44727</v>
      </c>
      <c r="X226" s="7">
        <v>0.41319444444444442</v>
      </c>
      <c r="Y226" s="22">
        <f t="shared" si="25"/>
        <v>6</v>
      </c>
      <c r="Z226" t="s">
        <v>509</v>
      </c>
      <c r="AA226" t="s">
        <v>509</v>
      </c>
      <c r="AB226">
        <v>1</v>
      </c>
      <c r="AC226" t="s">
        <v>117</v>
      </c>
      <c r="AD226" t="s">
        <v>117</v>
      </c>
      <c r="AE226" t="s">
        <v>242</v>
      </c>
      <c r="AF226" t="s">
        <v>120</v>
      </c>
      <c r="AG226" s="20">
        <v>20</v>
      </c>
      <c r="AH226" s="20">
        <v>10</v>
      </c>
      <c r="AI226" s="20">
        <v>11</v>
      </c>
      <c r="AJ226" s="22">
        <v>30</v>
      </c>
      <c r="AK226" s="22">
        <v>0</v>
      </c>
      <c r="AL226" s="22">
        <v>3</v>
      </c>
      <c r="AM226" s="77">
        <f t="shared" si="7"/>
        <v>0.9</v>
      </c>
      <c r="AN226" s="22" t="s">
        <v>246</v>
      </c>
      <c r="AO226" s="58">
        <v>2</v>
      </c>
      <c r="AP226" t="s">
        <v>234</v>
      </c>
      <c r="AQ226" s="22" t="s">
        <v>667</v>
      </c>
      <c r="AR226" t="s">
        <v>117</v>
      </c>
      <c r="AT226" t="s">
        <v>98</v>
      </c>
      <c r="AV226" t="s">
        <v>335</v>
      </c>
      <c r="AW226" t="s">
        <v>182</v>
      </c>
      <c r="AX226" t="s">
        <v>182</v>
      </c>
      <c r="AY226" t="s">
        <v>182</v>
      </c>
      <c r="AZ226" t="s">
        <v>458</v>
      </c>
      <c r="BA226" t="s">
        <v>458</v>
      </c>
    </row>
    <row r="227" spans="1:54" x14ac:dyDescent="0.6">
      <c r="A227" s="14" t="str">
        <f t="shared" si="22"/>
        <v>N</v>
      </c>
      <c r="B227" s="14" t="str">
        <f t="shared" si="23"/>
        <v>N</v>
      </c>
      <c r="C227" s="14" t="s">
        <v>141</v>
      </c>
      <c r="D227" t="s">
        <v>63</v>
      </c>
      <c r="E227" s="14" t="s">
        <v>63</v>
      </c>
      <c r="F227" t="str">
        <f t="shared" si="26"/>
        <v>N_N</v>
      </c>
      <c r="G227" s="22">
        <v>121</v>
      </c>
      <c r="H227" t="s">
        <v>498</v>
      </c>
      <c r="I227" s="5">
        <v>44706</v>
      </c>
      <c r="J227" s="7">
        <v>0.58680555555555558</v>
      </c>
      <c r="K227" s="20">
        <v>11</v>
      </c>
      <c r="L227" s="20">
        <v>11</v>
      </c>
      <c r="M227" s="20">
        <v>17</v>
      </c>
      <c r="N227" t="s">
        <v>88</v>
      </c>
      <c r="O227" t="s">
        <v>187</v>
      </c>
      <c r="P227" s="22">
        <v>31</v>
      </c>
      <c r="Q227" t="s">
        <v>56</v>
      </c>
      <c r="R227" t="s">
        <v>517</v>
      </c>
      <c r="S227" t="s">
        <v>63</v>
      </c>
      <c r="T227">
        <f t="shared" si="24"/>
        <v>15</v>
      </c>
      <c r="U227" s="5">
        <v>44721</v>
      </c>
      <c r="V227" s="7">
        <v>0.56388888888888888</v>
      </c>
      <c r="W227" s="5">
        <v>44727</v>
      </c>
      <c r="X227" s="7">
        <v>0.41319444444444442</v>
      </c>
      <c r="Y227" s="22">
        <f t="shared" si="25"/>
        <v>6</v>
      </c>
      <c r="Z227" t="s">
        <v>509</v>
      </c>
      <c r="AA227" t="s">
        <v>509</v>
      </c>
      <c r="AB227">
        <v>2</v>
      </c>
      <c r="AC227" t="s">
        <v>98</v>
      </c>
      <c r="AD227" t="s">
        <v>98</v>
      </c>
      <c r="AE227" t="s">
        <v>244</v>
      </c>
      <c r="AF227" t="s">
        <v>97</v>
      </c>
      <c r="AG227" s="20">
        <v>11</v>
      </c>
      <c r="AH227" s="20">
        <v>7</v>
      </c>
      <c r="AI227" s="20">
        <v>3</v>
      </c>
      <c r="AJ227" s="22">
        <v>100</v>
      </c>
      <c r="AK227" s="22">
        <v>0</v>
      </c>
      <c r="AL227" s="22">
        <v>100</v>
      </c>
      <c r="AM227" s="77">
        <f t="shared" si="7"/>
        <v>0</v>
      </c>
      <c r="AN227" s="22" t="s">
        <v>245</v>
      </c>
      <c r="AO227" s="58">
        <v>0</v>
      </c>
      <c r="AP227" t="s">
        <v>233</v>
      </c>
      <c r="AQ227" s="22" t="s">
        <v>667</v>
      </c>
      <c r="AR227" t="s">
        <v>117</v>
      </c>
      <c r="AT227" t="s">
        <v>98</v>
      </c>
      <c r="AV227" t="s">
        <v>335</v>
      </c>
      <c r="AW227" t="s">
        <v>182</v>
      </c>
      <c r="AX227" t="s">
        <v>182</v>
      </c>
      <c r="AY227" t="s">
        <v>182</v>
      </c>
      <c r="AZ227" t="s">
        <v>458</v>
      </c>
      <c r="BA227" t="s">
        <v>458</v>
      </c>
    </row>
    <row r="228" spans="1:54" x14ac:dyDescent="0.6">
      <c r="A228" s="14" t="str">
        <f t="shared" si="22"/>
        <v>N</v>
      </c>
      <c r="B228" s="14" t="str">
        <f t="shared" si="23"/>
        <v>N</v>
      </c>
      <c r="C228" s="14" t="s">
        <v>141</v>
      </c>
      <c r="D228" t="s">
        <v>63</v>
      </c>
      <c r="E228" s="14" t="s">
        <v>63</v>
      </c>
      <c r="F228" t="str">
        <f t="shared" si="26"/>
        <v>N_N</v>
      </c>
      <c r="G228" s="22">
        <v>122</v>
      </c>
      <c r="H228" t="s">
        <v>499</v>
      </c>
      <c r="I228" s="5">
        <v>44706</v>
      </c>
      <c r="J228" s="7">
        <v>0.58680555555555558</v>
      </c>
      <c r="K228" s="20">
        <v>11</v>
      </c>
      <c r="L228" s="20">
        <v>11</v>
      </c>
      <c r="M228" s="20">
        <v>18</v>
      </c>
      <c r="N228" t="s">
        <v>88</v>
      </c>
      <c r="O228" t="s">
        <v>187</v>
      </c>
      <c r="P228" s="22">
        <v>29</v>
      </c>
      <c r="Q228" t="s">
        <v>56</v>
      </c>
      <c r="R228" t="s">
        <v>518</v>
      </c>
      <c r="S228" t="s">
        <v>63</v>
      </c>
      <c r="T228">
        <f t="shared" si="24"/>
        <v>15</v>
      </c>
      <c r="U228" s="5">
        <v>44721</v>
      </c>
      <c r="V228" s="7">
        <v>0.56041666666666667</v>
      </c>
      <c r="W228" s="5">
        <v>44727</v>
      </c>
      <c r="X228" s="7">
        <v>0.41666666666666669</v>
      </c>
      <c r="Y228" s="22">
        <f t="shared" si="25"/>
        <v>6</v>
      </c>
      <c r="Z228" t="s">
        <v>511</v>
      </c>
      <c r="AA228" t="s">
        <v>511</v>
      </c>
      <c r="AB228">
        <v>1</v>
      </c>
      <c r="AC228" t="s">
        <v>46</v>
      </c>
      <c r="AD228" t="s">
        <v>352</v>
      </c>
      <c r="AE228" t="s">
        <v>242</v>
      </c>
      <c r="AF228" t="s">
        <v>47</v>
      </c>
      <c r="AG228" s="20">
        <v>20</v>
      </c>
      <c r="AH228" s="20">
        <v>8</v>
      </c>
      <c r="AI228" s="20">
        <v>13</v>
      </c>
      <c r="AJ228" s="22">
        <v>60</v>
      </c>
      <c r="AK228" s="22">
        <v>0</v>
      </c>
      <c r="AL228" s="22">
        <v>60</v>
      </c>
      <c r="AM228" s="77">
        <f t="shared" si="7"/>
        <v>0</v>
      </c>
      <c r="AN228" s="22" t="s">
        <v>245</v>
      </c>
      <c r="AO228" s="58">
        <v>0</v>
      </c>
      <c r="AP228" t="s">
        <v>233</v>
      </c>
      <c r="AQ228" s="22" t="s">
        <v>669</v>
      </c>
      <c r="AT228" t="s">
        <v>46</v>
      </c>
      <c r="AU228" t="s">
        <v>118</v>
      </c>
      <c r="AV228" t="s">
        <v>334</v>
      </c>
      <c r="AW228" t="s">
        <v>182</v>
      </c>
      <c r="AX228" t="s">
        <v>182</v>
      </c>
      <c r="AY228" t="s">
        <v>182</v>
      </c>
      <c r="AZ228" t="s">
        <v>458</v>
      </c>
      <c r="BA228" t="s">
        <v>458</v>
      </c>
    </row>
    <row r="229" spans="1:54" x14ac:dyDescent="0.6">
      <c r="A229" s="14" t="str">
        <f t="shared" si="22"/>
        <v>N</v>
      </c>
      <c r="B229" s="14" t="str">
        <f t="shared" si="23"/>
        <v>N</v>
      </c>
      <c r="C229" s="14" t="s">
        <v>141</v>
      </c>
      <c r="D229" t="s">
        <v>63</v>
      </c>
      <c r="E229" s="14" t="s">
        <v>63</v>
      </c>
      <c r="F229" t="str">
        <f t="shared" si="26"/>
        <v>N_N</v>
      </c>
      <c r="G229" s="22">
        <v>122</v>
      </c>
      <c r="H229" t="s">
        <v>499</v>
      </c>
      <c r="I229" s="5">
        <v>44706</v>
      </c>
      <c r="J229" s="7">
        <v>0.58680555555555558</v>
      </c>
      <c r="K229" s="20">
        <v>11</v>
      </c>
      <c r="L229" s="20">
        <v>11</v>
      </c>
      <c r="M229" s="20">
        <v>18</v>
      </c>
      <c r="N229" t="s">
        <v>88</v>
      </c>
      <c r="O229" t="s">
        <v>187</v>
      </c>
      <c r="P229" s="22">
        <v>29</v>
      </c>
      <c r="Q229" t="s">
        <v>56</v>
      </c>
      <c r="R229" t="s">
        <v>518</v>
      </c>
      <c r="S229" t="s">
        <v>63</v>
      </c>
      <c r="T229">
        <f t="shared" si="24"/>
        <v>15</v>
      </c>
      <c r="U229" s="5">
        <v>44721</v>
      </c>
      <c r="V229" s="7">
        <v>0.56041666666666667</v>
      </c>
      <c r="W229" s="5">
        <v>44727</v>
      </c>
      <c r="X229" s="7">
        <v>0.41666666666666669</v>
      </c>
      <c r="Y229" s="22">
        <f t="shared" si="25"/>
        <v>6</v>
      </c>
      <c r="Z229" t="s">
        <v>511</v>
      </c>
      <c r="AA229" t="s">
        <v>511</v>
      </c>
      <c r="AB229">
        <v>2</v>
      </c>
      <c r="AC229" t="s">
        <v>118</v>
      </c>
      <c r="AD229" t="s">
        <v>118</v>
      </c>
      <c r="AE229" t="s">
        <v>244</v>
      </c>
      <c r="AF229" t="s">
        <v>121</v>
      </c>
      <c r="AG229" s="20">
        <v>10</v>
      </c>
      <c r="AH229" s="20">
        <v>8</v>
      </c>
      <c r="AI229" s="20">
        <v>10</v>
      </c>
      <c r="AJ229" s="22">
        <v>40</v>
      </c>
      <c r="AK229" s="22">
        <v>0</v>
      </c>
      <c r="AL229" s="22">
        <v>40</v>
      </c>
      <c r="AM229" s="77">
        <f t="shared" si="7"/>
        <v>0</v>
      </c>
      <c r="AN229" s="22" t="s">
        <v>245</v>
      </c>
      <c r="AO229" s="58">
        <v>0</v>
      </c>
      <c r="AP229" t="s">
        <v>233</v>
      </c>
      <c r="AQ229" s="22" t="s">
        <v>669</v>
      </c>
      <c r="AT229" t="s">
        <v>46</v>
      </c>
      <c r="AU229" t="s">
        <v>118</v>
      </c>
      <c r="AV229" t="s">
        <v>334</v>
      </c>
      <c r="AW229" t="s">
        <v>182</v>
      </c>
      <c r="AX229" t="s">
        <v>182</v>
      </c>
      <c r="AY229" t="s">
        <v>182</v>
      </c>
      <c r="AZ229" t="s">
        <v>458</v>
      </c>
      <c r="BA229" t="s">
        <v>458</v>
      </c>
    </row>
    <row r="230" spans="1:54" x14ac:dyDescent="0.6">
      <c r="A230" s="14" t="str">
        <f t="shared" si="22"/>
        <v>N</v>
      </c>
      <c r="B230" s="14" t="str">
        <f t="shared" si="23"/>
        <v>N</v>
      </c>
      <c r="C230" s="14" t="s">
        <v>141</v>
      </c>
      <c r="D230" t="s">
        <v>141</v>
      </c>
      <c r="E230" s="14" t="s">
        <v>63</v>
      </c>
      <c r="F230" t="str">
        <f t="shared" si="26"/>
        <v>Y_N</v>
      </c>
      <c r="G230" s="22">
        <v>123</v>
      </c>
      <c r="H230" t="s">
        <v>500</v>
      </c>
      <c r="I230" s="5">
        <v>44706</v>
      </c>
      <c r="J230" s="7">
        <v>0.58680555555555558</v>
      </c>
      <c r="K230" s="20">
        <v>12</v>
      </c>
      <c r="L230" s="20">
        <v>12</v>
      </c>
      <c r="M230" s="20">
        <v>20</v>
      </c>
      <c r="N230" t="s">
        <v>88</v>
      </c>
      <c r="O230" t="s">
        <v>516</v>
      </c>
      <c r="P230" s="22">
        <v>29</v>
      </c>
      <c r="Q230" t="s">
        <v>519</v>
      </c>
      <c r="R230" t="s">
        <v>520</v>
      </c>
      <c r="S230" t="s">
        <v>63</v>
      </c>
      <c r="T230">
        <f t="shared" si="24"/>
        <v>15</v>
      </c>
      <c r="U230" s="5">
        <v>44721</v>
      </c>
      <c r="V230" s="7">
        <v>0.55694444444444446</v>
      </c>
      <c r="W230" s="5">
        <v>44727</v>
      </c>
      <c r="X230" s="7">
        <v>0.41736111111111113</v>
      </c>
      <c r="Y230" s="22">
        <f t="shared" si="25"/>
        <v>6</v>
      </c>
      <c r="Z230" t="s">
        <v>511</v>
      </c>
      <c r="AA230" t="s">
        <v>511</v>
      </c>
      <c r="AB230">
        <v>1</v>
      </c>
      <c r="AC230" t="s">
        <v>46</v>
      </c>
      <c r="AD230" t="s">
        <v>352</v>
      </c>
      <c r="AE230" t="s">
        <v>242</v>
      </c>
      <c r="AF230" t="s">
        <v>47</v>
      </c>
      <c r="AG230" s="20">
        <v>13</v>
      </c>
      <c r="AH230" s="20">
        <v>9</v>
      </c>
      <c r="AI230" s="20">
        <v>12</v>
      </c>
      <c r="AJ230" s="22">
        <v>25</v>
      </c>
      <c r="AK230" s="22">
        <v>0</v>
      </c>
      <c r="AL230" s="22">
        <v>25</v>
      </c>
      <c r="AM230" s="77">
        <f t="shared" si="7"/>
        <v>0</v>
      </c>
      <c r="AN230" s="22" t="s">
        <v>245</v>
      </c>
      <c r="AO230" s="58">
        <v>0</v>
      </c>
      <c r="AP230" t="s">
        <v>233</v>
      </c>
      <c r="AQ230" s="22" t="s">
        <v>669</v>
      </c>
      <c r="AT230" t="s">
        <v>46</v>
      </c>
      <c r="AU230" t="s">
        <v>118</v>
      </c>
      <c r="AV230" t="s">
        <v>324</v>
      </c>
      <c r="AW230" t="s">
        <v>182</v>
      </c>
      <c r="AX230" t="s">
        <v>182</v>
      </c>
      <c r="AY230" t="s">
        <v>182</v>
      </c>
      <c r="AZ230" s="28"/>
      <c r="BA230" t="s">
        <v>460</v>
      </c>
    </row>
    <row r="231" spans="1:54" x14ac:dyDescent="0.6">
      <c r="A231" s="14" t="str">
        <f t="shared" si="22"/>
        <v>N</v>
      </c>
      <c r="B231" s="14" t="str">
        <f t="shared" si="23"/>
        <v>N</v>
      </c>
      <c r="C231" s="14" t="s">
        <v>141</v>
      </c>
      <c r="D231" t="s">
        <v>141</v>
      </c>
      <c r="E231" s="14" t="s">
        <v>63</v>
      </c>
      <c r="F231" t="str">
        <f t="shared" si="26"/>
        <v>Y_N</v>
      </c>
      <c r="G231" s="22">
        <v>123</v>
      </c>
      <c r="H231" t="s">
        <v>500</v>
      </c>
      <c r="I231" s="5">
        <v>44706</v>
      </c>
      <c r="J231" s="7">
        <v>0.58680555555555558</v>
      </c>
      <c r="K231" s="20">
        <v>12</v>
      </c>
      <c r="L231" s="20">
        <v>12</v>
      </c>
      <c r="M231" s="20">
        <v>20</v>
      </c>
      <c r="N231" t="s">
        <v>88</v>
      </c>
      <c r="O231" t="s">
        <v>516</v>
      </c>
      <c r="P231" s="22">
        <v>29</v>
      </c>
      <c r="Q231" t="s">
        <v>519</v>
      </c>
      <c r="R231" t="s">
        <v>520</v>
      </c>
      <c r="S231" t="s">
        <v>63</v>
      </c>
      <c r="T231">
        <f t="shared" si="24"/>
        <v>15</v>
      </c>
      <c r="U231" s="5">
        <v>44721</v>
      </c>
      <c r="V231" s="7">
        <v>0.55694444444444446</v>
      </c>
      <c r="W231" s="5">
        <v>44727</v>
      </c>
      <c r="X231" s="7">
        <v>0.41736111111111113</v>
      </c>
      <c r="Y231" s="22">
        <f t="shared" si="25"/>
        <v>6</v>
      </c>
      <c r="Z231" t="s">
        <v>511</v>
      </c>
      <c r="AA231" t="s">
        <v>511</v>
      </c>
      <c r="AB231">
        <v>2</v>
      </c>
      <c r="AC231" t="s">
        <v>118</v>
      </c>
      <c r="AD231" t="s">
        <v>118</v>
      </c>
      <c r="AE231" t="s">
        <v>244</v>
      </c>
      <c r="AF231" t="s">
        <v>121</v>
      </c>
      <c r="AG231" s="20">
        <v>11</v>
      </c>
      <c r="AH231" s="20">
        <v>8</v>
      </c>
      <c r="AI231" s="20">
        <v>12</v>
      </c>
      <c r="AJ231" s="22">
        <v>40</v>
      </c>
      <c r="AK231" s="22">
        <v>0</v>
      </c>
      <c r="AL231" s="22">
        <v>40</v>
      </c>
      <c r="AM231" s="77">
        <f t="shared" si="7"/>
        <v>0</v>
      </c>
      <c r="AN231" s="22" t="s">
        <v>245</v>
      </c>
      <c r="AO231" s="58">
        <v>0</v>
      </c>
      <c r="AP231" t="s">
        <v>233</v>
      </c>
      <c r="AQ231" s="22" t="s">
        <v>669</v>
      </c>
      <c r="AT231" t="s">
        <v>46</v>
      </c>
      <c r="AU231" t="s">
        <v>118</v>
      </c>
      <c r="AV231" t="s">
        <v>324</v>
      </c>
      <c r="AW231" t="s">
        <v>182</v>
      </c>
      <c r="AX231" t="s">
        <v>182</v>
      </c>
      <c r="AY231" t="s">
        <v>182</v>
      </c>
      <c r="AZ231" s="28"/>
      <c r="BA231" t="s">
        <v>460</v>
      </c>
    </row>
    <row r="232" spans="1:54" x14ac:dyDescent="0.6">
      <c r="A232" s="14" t="str">
        <f t="shared" si="22"/>
        <v>N</v>
      </c>
      <c r="B232" s="14" t="str">
        <f t="shared" si="23"/>
        <v>N</v>
      </c>
      <c r="C232" s="14" t="s">
        <v>141</v>
      </c>
      <c r="D232" t="s">
        <v>141</v>
      </c>
      <c r="E232" s="14" t="s">
        <v>63</v>
      </c>
      <c r="F232" t="str">
        <f t="shared" si="26"/>
        <v>Y_N</v>
      </c>
      <c r="G232" s="22">
        <v>124</v>
      </c>
      <c r="H232" t="s">
        <v>501</v>
      </c>
      <c r="I232" s="5">
        <v>44706</v>
      </c>
      <c r="J232" s="7">
        <v>0.58680555555555558</v>
      </c>
      <c r="K232" s="20">
        <v>12</v>
      </c>
      <c r="L232" s="20">
        <v>12</v>
      </c>
      <c r="M232" s="20">
        <v>18</v>
      </c>
      <c r="N232" t="s">
        <v>88</v>
      </c>
      <c r="O232" t="s">
        <v>154</v>
      </c>
      <c r="P232" s="22">
        <v>29</v>
      </c>
      <c r="Q232" t="s">
        <v>521</v>
      </c>
      <c r="R232" t="s">
        <v>522</v>
      </c>
      <c r="S232" s="56" t="s">
        <v>522</v>
      </c>
      <c r="T232">
        <f t="shared" si="24"/>
        <v>15</v>
      </c>
      <c r="U232" s="5">
        <v>44721</v>
      </c>
      <c r="V232" s="7">
        <v>0.55347222222222225</v>
      </c>
      <c r="W232" s="5">
        <v>44727</v>
      </c>
      <c r="X232" s="7">
        <v>0.42152777777777778</v>
      </c>
      <c r="Y232" s="22">
        <f t="shared" si="25"/>
        <v>6</v>
      </c>
      <c r="Z232" t="s">
        <v>221</v>
      </c>
      <c r="AA232" t="s">
        <v>221</v>
      </c>
      <c r="AB232">
        <v>1</v>
      </c>
      <c r="AC232" t="s">
        <v>119</v>
      </c>
      <c r="AD232" t="s">
        <v>119</v>
      </c>
      <c r="AE232" t="s">
        <v>242</v>
      </c>
      <c r="AF232" t="s">
        <v>120</v>
      </c>
      <c r="AG232" s="20">
        <v>19</v>
      </c>
      <c r="AH232" s="20">
        <v>11.5</v>
      </c>
      <c r="AI232" s="20">
        <v>7</v>
      </c>
      <c r="AJ232" s="22">
        <v>80</v>
      </c>
      <c r="AK232" s="22">
        <v>0</v>
      </c>
      <c r="AL232" s="22">
        <v>80</v>
      </c>
      <c r="AM232" s="77">
        <f t="shared" si="7"/>
        <v>0</v>
      </c>
      <c r="AN232" s="22" t="s">
        <v>245</v>
      </c>
      <c r="AO232" s="58">
        <v>0</v>
      </c>
      <c r="AP232" t="s">
        <v>233</v>
      </c>
      <c r="AQ232" s="22" t="s">
        <v>669</v>
      </c>
      <c r="AT232" t="s">
        <v>119</v>
      </c>
      <c r="AU232" t="s">
        <v>46</v>
      </c>
      <c r="AV232" t="s">
        <v>324</v>
      </c>
      <c r="AW232" t="s">
        <v>182</v>
      </c>
      <c r="AX232" t="s">
        <v>182</v>
      </c>
      <c r="AY232" t="s">
        <v>182</v>
      </c>
      <c r="AZ232" s="28"/>
      <c r="BA232" t="s">
        <v>460</v>
      </c>
    </row>
    <row r="233" spans="1:54" x14ac:dyDescent="0.6">
      <c r="A233" s="14" t="str">
        <f t="shared" si="22"/>
        <v>N</v>
      </c>
      <c r="B233" s="14" t="str">
        <f t="shared" si="23"/>
        <v>N</v>
      </c>
      <c r="C233" s="14" t="s">
        <v>141</v>
      </c>
      <c r="D233" t="s">
        <v>141</v>
      </c>
      <c r="E233" s="14" t="s">
        <v>63</v>
      </c>
      <c r="F233" t="str">
        <f t="shared" si="26"/>
        <v>Y_N</v>
      </c>
      <c r="G233" s="22">
        <v>124</v>
      </c>
      <c r="H233" t="s">
        <v>501</v>
      </c>
      <c r="I233" s="5">
        <v>44706</v>
      </c>
      <c r="J233" s="7">
        <v>0.58680555555555558</v>
      </c>
      <c r="K233" s="20">
        <v>12</v>
      </c>
      <c r="L233" s="20">
        <v>12</v>
      </c>
      <c r="M233" s="20">
        <v>18</v>
      </c>
      <c r="N233" t="s">
        <v>88</v>
      </c>
      <c r="O233" t="s">
        <v>154</v>
      </c>
      <c r="P233" s="22">
        <v>29</v>
      </c>
      <c r="Q233" t="s">
        <v>521</v>
      </c>
      <c r="R233" t="s">
        <v>522</v>
      </c>
      <c r="S233" s="56" t="s">
        <v>522</v>
      </c>
      <c r="T233">
        <f t="shared" si="24"/>
        <v>15</v>
      </c>
      <c r="U233" s="5">
        <v>44721</v>
      </c>
      <c r="V233" s="7">
        <v>0.55347222222222225</v>
      </c>
      <c r="W233" s="5">
        <v>44727</v>
      </c>
      <c r="X233" s="7">
        <v>0.42152777777777778</v>
      </c>
      <c r="Y233" s="22">
        <f t="shared" si="25"/>
        <v>6</v>
      </c>
      <c r="Z233" t="s">
        <v>221</v>
      </c>
      <c r="AA233" t="s">
        <v>221</v>
      </c>
      <c r="AB233">
        <v>2</v>
      </c>
      <c r="AC233" t="s">
        <v>46</v>
      </c>
      <c r="AD233" t="s">
        <v>352</v>
      </c>
      <c r="AE233" t="s">
        <v>244</v>
      </c>
      <c r="AF233" t="s">
        <v>47</v>
      </c>
      <c r="AG233" s="20">
        <v>20</v>
      </c>
      <c r="AH233" s="20">
        <v>11</v>
      </c>
      <c r="AI233" s="20">
        <v>10</v>
      </c>
      <c r="AJ233" s="22">
        <v>40</v>
      </c>
      <c r="AK233" s="22">
        <v>0</v>
      </c>
      <c r="AL233" s="22">
        <v>40</v>
      </c>
      <c r="AM233" s="77">
        <f t="shared" si="7"/>
        <v>0</v>
      </c>
      <c r="AN233" s="22" t="s">
        <v>245</v>
      </c>
      <c r="AO233" s="58">
        <v>0</v>
      </c>
      <c r="AP233" t="s">
        <v>233</v>
      </c>
      <c r="AQ233" s="22" t="s">
        <v>669</v>
      </c>
      <c r="AT233" t="s">
        <v>119</v>
      </c>
      <c r="AU233" t="s">
        <v>46</v>
      </c>
      <c r="AV233" t="s">
        <v>324</v>
      </c>
      <c r="AW233" t="s">
        <v>182</v>
      </c>
      <c r="AX233" t="s">
        <v>182</v>
      </c>
      <c r="AY233" t="s">
        <v>182</v>
      </c>
      <c r="AZ233" s="28"/>
      <c r="BA233" t="s">
        <v>460</v>
      </c>
    </row>
    <row r="234" spans="1:54" x14ac:dyDescent="0.6">
      <c r="A234" s="14" t="str">
        <f t="shared" si="22"/>
        <v>N</v>
      </c>
      <c r="B234" s="14" t="str">
        <f t="shared" si="23"/>
        <v>N</v>
      </c>
      <c r="C234" s="14" t="s">
        <v>141</v>
      </c>
      <c r="D234" t="s">
        <v>141</v>
      </c>
      <c r="E234" s="14" t="s">
        <v>63</v>
      </c>
      <c r="F234" t="str">
        <f t="shared" si="26"/>
        <v>Y_N</v>
      </c>
      <c r="G234" s="22">
        <v>125</v>
      </c>
      <c r="H234" t="s">
        <v>502</v>
      </c>
      <c r="I234" s="5">
        <v>44706</v>
      </c>
      <c r="J234" s="7">
        <v>0.58680555555555558</v>
      </c>
      <c r="K234" s="20">
        <v>13</v>
      </c>
      <c r="L234" s="20">
        <v>12</v>
      </c>
      <c r="M234" s="20">
        <v>18</v>
      </c>
      <c r="N234" t="s">
        <v>71</v>
      </c>
      <c r="O234" t="s">
        <v>455</v>
      </c>
      <c r="P234" s="22">
        <v>44</v>
      </c>
      <c r="Q234" t="s">
        <v>56</v>
      </c>
      <c r="R234" t="s">
        <v>523</v>
      </c>
      <c r="S234" t="s">
        <v>63</v>
      </c>
      <c r="T234">
        <f t="shared" si="24"/>
        <v>15</v>
      </c>
      <c r="U234" s="5">
        <v>44721</v>
      </c>
      <c r="V234" s="7">
        <v>0.54999999999999993</v>
      </c>
      <c r="W234" s="5">
        <v>44727</v>
      </c>
      <c r="X234" s="7">
        <v>0.42291666666666666</v>
      </c>
      <c r="Y234" s="22">
        <f t="shared" si="25"/>
        <v>6</v>
      </c>
      <c r="Z234" t="s">
        <v>221</v>
      </c>
      <c r="AA234" t="s">
        <v>221</v>
      </c>
      <c r="AB234">
        <v>1</v>
      </c>
      <c r="AC234" t="s">
        <v>119</v>
      </c>
      <c r="AD234" t="s">
        <v>119</v>
      </c>
      <c r="AE234" t="s">
        <v>242</v>
      </c>
      <c r="AF234" t="s">
        <v>120</v>
      </c>
      <c r="AG234" s="20">
        <v>12</v>
      </c>
      <c r="AH234" s="20">
        <v>11</v>
      </c>
      <c r="AI234" s="20">
        <v>9</v>
      </c>
      <c r="AJ234" s="22">
        <v>50</v>
      </c>
      <c r="AK234" s="22">
        <v>0</v>
      </c>
      <c r="AL234" s="22">
        <v>0</v>
      </c>
      <c r="AM234" s="77">
        <f t="shared" si="7"/>
        <v>1</v>
      </c>
      <c r="AN234" s="22" t="s">
        <v>246</v>
      </c>
      <c r="AO234" s="58">
        <v>2</v>
      </c>
      <c r="AP234" t="s">
        <v>234</v>
      </c>
      <c r="AQ234" s="22" t="s">
        <v>668</v>
      </c>
      <c r="AR234" t="s">
        <v>119</v>
      </c>
      <c r="AS234" t="s">
        <v>46</v>
      </c>
      <c r="AV234" t="s">
        <v>141</v>
      </c>
      <c r="AW234" t="s">
        <v>323</v>
      </c>
      <c r="AX234">
        <v>19</v>
      </c>
      <c r="AY234" t="s">
        <v>529</v>
      </c>
      <c r="AZ234" t="s">
        <v>46</v>
      </c>
      <c r="BA234" t="s">
        <v>63</v>
      </c>
      <c r="BB234" s="20" t="s">
        <v>530</v>
      </c>
    </row>
    <row r="235" spans="1:54" x14ac:dyDescent="0.6">
      <c r="A235" s="14" t="str">
        <f t="shared" si="22"/>
        <v>N</v>
      </c>
      <c r="B235" s="14" t="str">
        <f t="shared" si="23"/>
        <v>N</v>
      </c>
      <c r="C235" s="14" t="s">
        <v>141</v>
      </c>
      <c r="D235" t="s">
        <v>141</v>
      </c>
      <c r="E235" s="14" t="s">
        <v>63</v>
      </c>
      <c r="F235" t="str">
        <f t="shared" si="26"/>
        <v>Y_N</v>
      </c>
      <c r="G235" s="22">
        <v>125</v>
      </c>
      <c r="H235" t="s">
        <v>502</v>
      </c>
      <c r="I235" s="5">
        <v>44706</v>
      </c>
      <c r="J235" s="7">
        <v>0.58680555555555558</v>
      </c>
      <c r="K235" s="20">
        <v>13</v>
      </c>
      <c r="L235" s="20">
        <v>12</v>
      </c>
      <c r="M235" s="20">
        <v>18</v>
      </c>
      <c r="N235" t="s">
        <v>71</v>
      </c>
      <c r="O235" t="s">
        <v>455</v>
      </c>
      <c r="P235" s="22">
        <v>44</v>
      </c>
      <c r="Q235" t="s">
        <v>56</v>
      </c>
      <c r="R235" t="s">
        <v>523</v>
      </c>
      <c r="S235" t="s">
        <v>63</v>
      </c>
      <c r="T235">
        <f t="shared" si="24"/>
        <v>15</v>
      </c>
      <c r="U235" s="5">
        <v>44721</v>
      </c>
      <c r="V235" s="7">
        <v>0.54999999999999993</v>
      </c>
      <c r="W235" s="5">
        <v>44727</v>
      </c>
      <c r="X235" s="7">
        <v>0.42291666666666666</v>
      </c>
      <c r="Y235" s="22">
        <f t="shared" si="25"/>
        <v>6</v>
      </c>
      <c r="Z235" t="s">
        <v>221</v>
      </c>
      <c r="AA235" t="s">
        <v>221</v>
      </c>
      <c r="AB235">
        <v>2</v>
      </c>
      <c r="AC235" t="s">
        <v>46</v>
      </c>
      <c r="AD235" t="s">
        <v>352</v>
      </c>
      <c r="AE235" t="s">
        <v>244</v>
      </c>
      <c r="AF235" t="s">
        <v>47</v>
      </c>
      <c r="AG235" s="20">
        <v>13</v>
      </c>
      <c r="AH235" s="20">
        <v>12</v>
      </c>
      <c r="AI235" s="20">
        <v>12</v>
      </c>
      <c r="AJ235" s="22">
        <v>50</v>
      </c>
      <c r="AK235" s="22">
        <v>0</v>
      </c>
      <c r="AL235" s="22">
        <v>20</v>
      </c>
      <c r="AM235" s="77">
        <f t="shared" si="7"/>
        <v>0.6</v>
      </c>
      <c r="AN235" s="22" t="s">
        <v>247</v>
      </c>
      <c r="AO235" s="58">
        <v>1</v>
      </c>
      <c r="AP235" t="s">
        <v>234</v>
      </c>
      <c r="AQ235" s="22" t="s">
        <v>668</v>
      </c>
      <c r="AR235" t="s">
        <v>119</v>
      </c>
      <c r="AS235" t="s">
        <v>46</v>
      </c>
      <c r="AV235" t="s">
        <v>141</v>
      </c>
      <c r="AW235" t="s">
        <v>323</v>
      </c>
      <c r="AX235">
        <v>13</v>
      </c>
      <c r="AY235" t="s">
        <v>532</v>
      </c>
      <c r="AZ235" t="s">
        <v>46</v>
      </c>
      <c r="BA235" t="s">
        <v>63</v>
      </c>
      <c r="BB235" s="20" t="s">
        <v>531</v>
      </c>
    </row>
    <row r="236" spans="1:54" ht="17.05" customHeight="1" x14ac:dyDescent="0.6">
      <c r="A236" s="14" t="str">
        <f t="shared" si="22"/>
        <v>N</v>
      </c>
      <c r="B236" s="14" t="str">
        <f t="shared" si="23"/>
        <v>N</v>
      </c>
      <c r="C236" s="14" t="s">
        <v>141</v>
      </c>
      <c r="D236" t="s">
        <v>63</v>
      </c>
      <c r="E236" s="14" t="s">
        <v>141</v>
      </c>
      <c r="F236" t="str">
        <f t="shared" si="26"/>
        <v>N_Y</v>
      </c>
      <c r="G236" s="22">
        <v>126</v>
      </c>
      <c r="H236" t="s">
        <v>498</v>
      </c>
      <c r="I236" s="5">
        <v>44727</v>
      </c>
      <c r="J236" s="7">
        <v>0.54861111111111105</v>
      </c>
      <c r="K236" s="20">
        <v>12</v>
      </c>
      <c r="L236" s="20">
        <v>12</v>
      </c>
      <c r="M236" s="20">
        <v>23</v>
      </c>
      <c r="N236" t="s">
        <v>71</v>
      </c>
      <c r="O236" t="s">
        <v>186</v>
      </c>
      <c r="P236" s="22">
        <v>39</v>
      </c>
      <c r="Q236" t="s">
        <v>79</v>
      </c>
      <c r="R236" t="s">
        <v>272</v>
      </c>
      <c r="S236" s="56" t="s">
        <v>272</v>
      </c>
      <c r="T236">
        <f t="shared" si="24"/>
        <v>9</v>
      </c>
      <c r="U236" s="5">
        <v>44736</v>
      </c>
      <c r="V236" s="7">
        <v>0.5625</v>
      </c>
      <c r="W236" s="5">
        <v>44750</v>
      </c>
      <c r="X236" s="7">
        <v>0.4284722222222222</v>
      </c>
      <c r="Y236" s="22">
        <f t="shared" si="25"/>
        <v>14</v>
      </c>
      <c r="Z236" t="s">
        <v>405</v>
      </c>
      <c r="AA236" t="s">
        <v>405</v>
      </c>
      <c r="AB236">
        <v>1</v>
      </c>
      <c r="AC236" t="s">
        <v>119</v>
      </c>
      <c r="AD236" t="s">
        <v>119</v>
      </c>
      <c r="AE236" t="s">
        <v>244</v>
      </c>
      <c r="AF236" t="s">
        <v>120</v>
      </c>
      <c r="AG236" s="20">
        <v>11</v>
      </c>
      <c r="AH236" s="20">
        <v>10</v>
      </c>
      <c r="AI236" s="20">
        <v>6</v>
      </c>
      <c r="AJ236" s="22">
        <v>50</v>
      </c>
      <c r="AK236" s="22">
        <v>0</v>
      </c>
      <c r="AL236" s="22">
        <v>5</v>
      </c>
      <c r="AM236" s="77">
        <f t="shared" si="7"/>
        <v>0.9</v>
      </c>
      <c r="AN236" s="22" t="s">
        <v>246</v>
      </c>
      <c r="AO236" s="58">
        <v>2</v>
      </c>
      <c r="AP236" t="s">
        <v>234</v>
      </c>
      <c r="AQ236" s="22" t="s">
        <v>667</v>
      </c>
      <c r="AR236" t="s">
        <v>119</v>
      </c>
      <c r="AT236" t="s">
        <v>98</v>
      </c>
      <c r="AV236" t="s">
        <v>325</v>
      </c>
      <c r="AW236" t="s">
        <v>448</v>
      </c>
      <c r="AX236" t="s">
        <v>539</v>
      </c>
      <c r="AY236" t="s">
        <v>540</v>
      </c>
      <c r="AZ236" t="s">
        <v>458</v>
      </c>
      <c r="BA236" t="s">
        <v>458</v>
      </c>
      <c r="BB236" s="20" t="s">
        <v>541</v>
      </c>
    </row>
    <row r="237" spans="1:54" x14ac:dyDescent="0.6">
      <c r="A237" s="14" t="str">
        <f t="shared" si="22"/>
        <v>N</v>
      </c>
      <c r="B237" s="14" t="str">
        <f t="shared" si="23"/>
        <v>N</v>
      </c>
      <c r="C237" s="14" t="s">
        <v>141</v>
      </c>
      <c r="D237" t="s">
        <v>63</v>
      </c>
      <c r="E237" s="14" t="s">
        <v>141</v>
      </c>
      <c r="F237" t="str">
        <f t="shared" si="26"/>
        <v>N_Y</v>
      </c>
      <c r="G237" s="22">
        <v>126</v>
      </c>
      <c r="H237" t="s">
        <v>498</v>
      </c>
      <c r="I237" s="5">
        <v>44727</v>
      </c>
      <c r="J237" s="7">
        <v>0.54861111111111105</v>
      </c>
      <c r="K237" s="20">
        <v>12</v>
      </c>
      <c r="L237" s="20">
        <v>12</v>
      </c>
      <c r="M237" s="20">
        <v>23</v>
      </c>
      <c r="N237" t="s">
        <v>71</v>
      </c>
      <c r="O237" t="s">
        <v>186</v>
      </c>
      <c r="P237" s="22">
        <v>39</v>
      </c>
      <c r="Q237" t="s">
        <v>79</v>
      </c>
      <c r="R237" t="s">
        <v>272</v>
      </c>
      <c r="S237" s="56" t="s">
        <v>272</v>
      </c>
      <c r="T237">
        <f t="shared" ref="T237" si="27">DATEDIF(I237,U237,"d")</f>
        <v>9</v>
      </c>
      <c r="U237" s="5">
        <v>44736</v>
      </c>
      <c r="V237" s="7">
        <v>0.5625</v>
      </c>
      <c r="W237" s="5">
        <v>44750</v>
      </c>
      <c r="X237" s="7">
        <v>0.4284722222222222</v>
      </c>
      <c r="Y237" s="22">
        <f t="shared" si="25"/>
        <v>14</v>
      </c>
      <c r="Z237" t="s">
        <v>405</v>
      </c>
      <c r="AA237" t="s">
        <v>405</v>
      </c>
      <c r="AB237">
        <v>2</v>
      </c>
      <c r="AC237" t="s">
        <v>98</v>
      </c>
      <c r="AD237" t="s">
        <v>98</v>
      </c>
      <c r="AE237" t="s">
        <v>242</v>
      </c>
      <c r="AF237" t="s">
        <v>97</v>
      </c>
      <c r="AG237" s="20">
        <v>8</v>
      </c>
      <c r="AH237" s="20">
        <v>10</v>
      </c>
      <c r="AI237" s="20">
        <v>3</v>
      </c>
      <c r="AJ237" s="22">
        <v>100</v>
      </c>
      <c r="AK237" s="22">
        <v>0</v>
      </c>
      <c r="AL237" s="22">
        <v>100</v>
      </c>
      <c r="AM237" s="77">
        <f t="shared" si="7"/>
        <v>0</v>
      </c>
      <c r="AN237" s="22" t="s">
        <v>245</v>
      </c>
      <c r="AO237" s="58">
        <v>0</v>
      </c>
      <c r="AP237" t="s">
        <v>233</v>
      </c>
      <c r="AQ237" s="22" t="s">
        <v>667</v>
      </c>
      <c r="AR237" t="s">
        <v>119</v>
      </c>
      <c r="AT237" t="s">
        <v>98</v>
      </c>
      <c r="AV237" t="s">
        <v>325</v>
      </c>
      <c r="AW237" t="s">
        <v>182</v>
      </c>
      <c r="AX237" t="s">
        <v>182</v>
      </c>
      <c r="AY237" t="s">
        <v>182</v>
      </c>
      <c r="AZ237" t="s">
        <v>458</v>
      </c>
      <c r="BA237" t="s">
        <v>458</v>
      </c>
    </row>
    <row r="238" spans="1:54" x14ac:dyDescent="0.6">
      <c r="A238" s="14" t="str">
        <f t="shared" si="22"/>
        <v>N</v>
      </c>
      <c r="B238" s="14" t="str">
        <f t="shared" si="23"/>
        <v>N</v>
      </c>
      <c r="C238" s="14" t="s">
        <v>141</v>
      </c>
      <c r="D238" t="s">
        <v>63</v>
      </c>
      <c r="E238" s="14" t="s">
        <v>141</v>
      </c>
      <c r="F238" t="str">
        <f t="shared" si="26"/>
        <v>N_Y</v>
      </c>
      <c r="G238" s="22">
        <v>127</v>
      </c>
      <c r="H238" t="s">
        <v>499</v>
      </c>
      <c r="I238" s="5">
        <v>44727</v>
      </c>
      <c r="J238" s="7">
        <v>0.54861111111111105</v>
      </c>
      <c r="K238" s="20">
        <v>14</v>
      </c>
      <c r="L238" s="20">
        <v>14</v>
      </c>
      <c r="M238" s="20">
        <v>20</v>
      </c>
      <c r="N238" t="s">
        <v>71</v>
      </c>
      <c r="O238" t="s">
        <v>210</v>
      </c>
      <c r="P238" s="22">
        <v>41</v>
      </c>
      <c r="Q238" t="s">
        <v>534</v>
      </c>
      <c r="R238" t="s">
        <v>535</v>
      </c>
      <c r="S238" s="56" t="s">
        <v>535</v>
      </c>
      <c r="T238">
        <f>DATEDIF(I238,U238,"d")</f>
        <v>9</v>
      </c>
      <c r="U238" s="5">
        <v>44736</v>
      </c>
      <c r="V238" s="7">
        <v>0.57361111111111118</v>
      </c>
      <c r="W238" s="5">
        <v>44750</v>
      </c>
      <c r="X238" s="7">
        <v>0.42569444444444443</v>
      </c>
      <c r="Y238" s="22">
        <f t="shared" si="25"/>
        <v>14</v>
      </c>
      <c r="Z238" t="s">
        <v>536</v>
      </c>
      <c r="AA238" t="s">
        <v>536</v>
      </c>
      <c r="AB238">
        <v>1</v>
      </c>
      <c r="AC238" t="s">
        <v>117</v>
      </c>
      <c r="AD238" t="s">
        <v>117</v>
      </c>
      <c r="AE238" t="s">
        <v>244</v>
      </c>
      <c r="AF238" t="s">
        <v>120</v>
      </c>
      <c r="AG238" s="20">
        <v>14</v>
      </c>
      <c r="AH238" s="20">
        <v>14</v>
      </c>
      <c r="AI238" s="20">
        <v>8</v>
      </c>
      <c r="AJ238" s="22">
        <v>50</v>
      </c>
      <c r="AK238" s="22">
        <v>0</v>
      </c>
      <c r="AL238" s="22">
        <v>25</v>
      </c>
      <c r="AM238" s="74">
        <f>((AJ238-AL238)/AJ238)</f>
        <v>0.5</v>
      </c>
      <c r="AN238" s="22" t="s">
        <v>247</v>
      </c>
      <c r="AO238" s="58">
        <v>1</v>
      </c>
      <c r="AP238" t="s">
        <v>234</v>
      </c>
      <c r="AQ238" s="22" t="s">
        <v>668</v>
      </c>
      <c r="AR238" t="s">
        <v>287</v>
      </c>
      <c r="AS238" t="s">
        <v>117</v>
      </c>
      <c r="AV238" t="s">
        <v>141</v>
      </c>
      <c r="AW238" t="s">
        <v>542</v>
      </c>
      <c r="AX238" t="s">
        <v>182</v>
      </c>
      <c r="AY238" t="s">
        <v>182</v>
      </c>
      <c r="AZ238" t="s">
        <v>458</v>
      </c>
      <c r="BA238" t="s">
        <v>458</v>
      </c>
    </row>
    <row r="239" spans="1:54" x14ac:dyDescent="0.6">
      <c r="A239" s="14" t="str">
        <f t="shared" si="22"/>
        <v>N</v>
      </c>
      <c r="B239" s="14" t="str">
        <f t="shared" si="23"/>
        <v>N</v>
      </c>
      <c r="C239" s="14" t="s">
        <v>141</v>
      </c>
      <c r="D239" t="s">
        <v>63</v>
      </c>
      <c r="E239" s="14" t="s">
        <v>141</v>
      </c>
      <c r="F239" t="str">
        <f t="shared" si="26"/>
        <v>N_Y</v>
      </c>
      <c r="G239" s="22">
        <v>127</v>
      </c>
      <c r="H239" t="s">
        <v>499</v>
      </c>
      <c r="I239" s="5">
        <v>44727</v>
      </c>
      <c r="J239" s="7">
        <v>0.54861111111111105</v>
      </c>
      <c r="K239" s="20">
        <v>14</v>
      </c>
      <c r="L239" s="20">
        <v>14</v>
      </c>
      <c r="M239" s="20">
        <v>20</v>
      </c>
      <c r="N239" t="s">
        <v>71</v>
      </c>
      <c r="O239" t="s">
        <v>210</v>
      </c>
      <c r="P239" s="22">
        <v>41</v>
      </c>
      <c r="Q239" t="s">
        <v>534</v>
      </c>
      <c r="R239" t="s">
        <v>535</v>
      </c>
      <c r="S239" s="56" t="s">
        <v>535</v>
      </c>
      <c r="T239">
        <f t="shared" ref="T239:T240" si="28">DATEDIF(I239,U239,"d")</f>
        <v>9</v>
      </c>
      <c r="U239" s="5">
        <v>44736</v>
      </c>
      <c r="V239" s="7">
        <v>0.57361111111111118</v>
      </c>
      <c r="W239" s="5">
        <v>44750</v>
      </c>
      <c r="X239" s="7">
        <v>0.42569444444444443</v>
      </c>
      <c r="Y239" s="22">
        <f t="shared" si="25"/>
        <v>14</v>
      </c>
      <c r="Z239" t="s">
        <v>536</v>
      </c>
      <c r="AA239" t="s">
        <v>536</v>
      </c>
      <c r="AB239">
        <v>2</v>
      </c>
      <c r="AC239" t="s">
        <v>287</v>
      </c>
      <c r="AD239" t="s">
        <v>287</v>
      </c>
      <c r="AE239" t="s">
        <v>242</v>
      </c>
      <c r="AF239" t="s">
        <v>402</v>
      </c>
      <c r="AG239" s="20">
        <v>8</v>
      </c>
      <c r="AH239" s="20">
        <v>7</v>
      </c>
      <c r="AI239" s="20">
        <v>4.5</v>
      </c>
      <c r="AJ239" s="22">
        <v>50</v>
      </c>
      <c r="AK239" s="22">
        <v>0</v>
      </c>
      <c r="AL239" s="22">
        <v>0</v>
      </c>
      <c r="AM239" s="74">
        <f t="shared" si="7"/>
        <v>1</v>
      </c>
      <c r="AN239" s="22" t="s">
        <v>246</v>
      </c>
      <c r="AO239" s="58">
        <v>2</v>
      </c>
      <c r="AP239" t="s">
        <v>234</v>
      </c>
      <c r="AQ239" s="22" t="s">
        <v>668</v>
      </c>
      <c r="AR239" t="s">
        <v>287</v>
      </c>
      <c r="AS239" t="s">
        <v>117</v>
      </c>
      <c r="AV239" t="s">
        <v>141</v>
      </c>
      <c r="AW239" t="s">
        <v>448</v>
      </c>
      <c r="AX239" t="s">
        <v>543</v>
      </c>
      <c r="AY239" t="s">
        <v>544</v>
      </c>
      <c r="AZ239" t="s">
        <v>458</v>
      </c>
      <c r="BA239" t="s">
        <v>458</v>
      </c>
      <c r="BB239" s="20" t="s">
        <v>545</v>
      </c>
    </row>
    <row r="240" spans="1:54" x14ac:dyDescent="0.6">
      <c r="A240" s="14" t="str">
        <f t="shared" si="22"/>
        <v>N</v>
      </c>
      <c r="B240" s="14" t="str">
        <f t="shared" si="23"/>
        <v>N</v>
      </c>
      <c r="C240" s="14" t="s">
        <v>141</v>
      </c>
      <c r="D240" t="s">
        <v>63</v>
      </c>
      <c r="E240" s="14" t="s">
        <v>141</v>
      </c>
      <c r="F240" t="str">
        <f t="shared" si="26"/>
        <v>N_Y</v>
      </c>
      <c r="G240" s="22">
        <v>128</v>
      </c>
      <c r="H240" t="s">
        <v>500</v>
      </c>
      <c r="I240" s="5">
        <v>44727</v>
      </c>
      <c r="J240" s="7">
        <v>0.54861111111111105</v>
      </c>
      <c r="K240" s="20">
        <v>11.5</v>
      </c>
      <c r="L240" s="20">
        <v>11</v>
      </c>
      <c r="M240" s="20">
        <v>18</v>
      </c>
      <c r="N240" t="s">
        <v>71</v>
      </c>
      <c r="O240" t="s">
        <v>210</v>
      </c>
      <c r="P240" s="22">
        <v>39</v>
      </c>
      <c r="Q240" t="s">
        <v>56</v>
      </c>
      <c r="R240" t="s">
        <v>213</v>
      </c>
      <c r="S240" s="56" t="s">
        <v>213</v>
      </c>
      <c r="T240">
        <f t="shared" si="28"/>
        <v>9</v>
      </c>
      <c r="U240" s="5">
        <v>44736</v>
      </c>
      <c r="V240" s="7">
        <v>0.57708333333333328</v>
      </c>
      <c r="W240" s="5">
        <v>44750</v>
      </c>
      <c r="X240" s="7">
        <v>0.4201388888888889</v>
      </c>
      <c r="Y240" s="22">
        <f t="shared" si="25"/>
        <v>14</v>
      </c>
      <c r="Z240" t="s">
        <v>536</v>
      </c>
      <c r="AA240" t="s">
        <v>536</v>
      </c>
      <c r="AB240">
        <v>1</v>
      </c>
      <c r="AC240" t="s">
        <v>117</v>
      </c>
      <c r="AD240" t="s">
        <v>117</v>
      </c>
      <c r="AE240" t="s">
        <v>244</v>
      </c>
      <c r="AF240" t="s">
        <v>120</v>
      </c>
      <c r="AG240" s="20">
        <v>7.5</v>
      </c>
      <c r="AH240" s="20">
        <v>5.5</v>
      </c>
      <c r="AI240" s="20">
        <v>3</v>
      </c>
      <c r="AJ240" s="22">
        <v>15</v>
      </c>
      <c r="AK240" s="22">
        <v>0</v>
      </c>
      <c r="AL240" s="22">
        <v>15</v>
      </c>
      <c r="AM240" s="74">
        <f t="shared" si="7"/>
        <v>0</v>
      </c>
      <c r="AN240" s="22" t="s">
        <v>245</v>
      </c>
      <c r="AO240" s="58">
        <v>0</v>
      </c>
      <c r="AP240" t="s">
        <v>233</v>
      </c>
      <c r="AQ240" s="22" t="s">
        <v>669</v>
      </c>
      <c r="AR240" t="s">
        <v>287</v>
      </c>
      <c r="AT240" t="s">
        <v>117</v>
      </c>
      <c r="AV240" t="s">
        <v>325</v>
      </c>
      <c r="AW240" t="s">
        <v>182</v>
      </c>
      <c r="AX240" t="s">
        <v>182</v>
      </c>
      <c r="AY240" t="s">
        <v>182</v>
      </c>
      <c r="AZ240" t="s">
        <v>458</v>
      </c>
      <c r="BA240" t="s">
        <v>458</v>
      </c>
    </row>
    <row r="241" spans="1:54" x14ac:dyDescent="0.6">
      <c r="A241" s="14" t="str">
        <f t="shared" si="22"/>
        <v>N</v>
      </c>
      <c r="B241" s="14" t="str">
        <f t="shared" si="23"/>
        <v>N</v>
      </c>
      <c r="C241" s="14" t="s">
        <v>141</v>
      </c>
      <c r="D241" t="s">
        <v>63</v>
      </c>
      <c r="E241" s="14" t="s">
        <v>141</v>
      </c>
      <c r="F241" t="str">
        <f t="shared" si="26"/>
        <v>N_Y</v>
      </c>
      <c r="G241" s="22">
        <v>128</v>
      </c>
      <c r="H241" t="s">
        <v>500</v>
      </c>
      <c r="I241" s="5">
        <v>44727</v>
      </c>
      <c r="J241" s="7">
        <v>0.54861111111111105</v>
      </c>
      <c r="K241" s="20">
        <v>11.5</v>
      </c>
      <c r="L241" s="20">
        <v>11</v>
      </c>
      <c r="M241" s="20">
        <v>18</v>
      </c>
      <c r="N241" t="s">
        <v>71</v>
      </c>
      <c r="O241" t="s">
        <v>210</v>
      </c>
      <c r="P241" s="22">
        <v>39</v>
      </c>
      <c r="Q241" t="s">
        <v>56</v>
      </c>
      <c r="R241" t="s">
        <v>213</v>
      </c>
      <c r="S241" s="56" t="s">
        <v>213</v>
      </c>
      <c r="T241">
        <f t="shared" ref="T241:T242" si="29">DATEDIF(I241,U241,"d")</f>
        <v>9</v>
      </c>
      <c r="U241" s="5">
        <v>44736</v>
      </c>
      <c r="V241" s="7">
        <v>0.57708333333333328</v>
      </c>
      <c r="W241" s="5">
        <v>44750</v>
      </c>
      <c r="X241" s="7">
        <v>0.4201388888888889</v>
      </c>
      <c r="Y241" s="22">
        <f t="shared" si="25"/>
        <v>14</v>
      </c>
      <c r="Z241" t="s">
        <v>536</v>
      </c>
      <c r="AA241" t="s">
        <v>536</v>
      </c>
      <c r="AB241">
        <v>2</v>
      </c>
      <c r="AC241" t="s">
        <v>287</v>
      </c>
      <c r="AD241" t="s">
        <v>287</v>
      </c>
      <c r="AE241" t="s">
        <v>242</v>
      </c>
      <c r="AF241" t="s">
        <v>402</v>
      </c>
      <c r="AG241" s="20">
        <v>9.5</v>
      </c>
      <c r="AH241" s="20">
        <v>4.5</v>
      </c>
      <c r="AI241" s="20">
        <v>2.5</v>
      </c>
      <c r="AJ241" s="22">
        <v>60</v>
      </c>
      <c r="AK241" s="22">
        <v>0</v>
      </c>
      <c r="AL241" s="22">
        <v>0</v>
      </c>
      <c r="AM241" s="74">
        <f t="shared" si="7"/>
        <v>1</v>
      </c>
      <c r="AN241" s="22" t="s">
        <v>246</v>
      </c>
      <c r="AO241" s="58">
        <v>2</v>
      </c>
      <c r="AP241" t="s">
        <v>234</v>
      </c>
      <c r="AQ241" s="22" t="s">
        <v>669</v>
      </c>
      <c r="AR241" t="s">
        <v>287</v>
      </c>
      <c r="AT241" t="s">
        <v>117</v>
      </c>
      <c r="AV241" t="s">
        <v>325</v>
      </c>
      <c r="AW241" t="s">
        <v>448</v>
      </c>
      <c r="AX241" t="s">
        <v>547</v>
      </c>
      <c r="AY241" t="s">
        <v>546</v>
      </c>
      <c r="AZ241" t="s">
        <v>458</v>
      </c>
      <c r="BA241" t="s">
        <v>458</v>
      </c>
      <c r="BB241" s="20" t="s">
        <v>545</v>
      </c>
    </row>
    <row r="242" spans="1:54" x14ac:dyDescent="0.6">
      <c r="A242" s="14" t="str">
        <f t="shared" si="22"/>
        <v>N</v>
      </c>
      <c r="B242" s="14" t="str">
        <f t="shared" si="23"/>
        <v>N</v>
      </c>
      <c r="C242" s="14" t="s">
        <v>141</v>
      </c>
      <c r="D242" t="s">
        <v>63</v>
      </c>
      <c r="E242" s="14" t="s">
        <v>141</v>
      </c>
      <c r="F242" t="str">
        <f t="shared" si="26"/>
        <v>N_Y</v>
      </c>
      <c r="G242" s="22">
        <v>129</v>
      </c>
      <c r="H242" t="s">
        <v>501</v>
      </c>
      <c r="I242" s="5">
        <v>44727</v>
      </c>
      <c r="J242" s="7">
        <v>0.54861111111111105</v>
      </c>
      <c r="K242" s="20">
        <v>12</v>
      </c>
      <c r="L242" s="20">
        <v>12</v>
      </c>
      <c r="M242" s="20">
        <v>18</v>
      </c>
      <c r="N242" t="s">
        <v>88</v>
      </c>
      <c r="O242" t="s">
        <v>154</v>
      </c>
      <c r="P242" s="22">
        <v>30</v>
      </c>
      <c r="Q242" t="s">
        <v>42</v>
      </c>
      <c r="R242" t="s">
        <v>537</v>
      </c>
      <c r="S242" t="s">
        <v>63</v>
      </c>
      <c r="T242">
        <f t="shared" si="29"/>
        <v>9</v>
      </c>
      <c r="U242" s="5">
        <v>44736</v>
      </c>
      <c r="V242" s="7">
        <v>0.58819444444444446</v>
      </c>
      <c r="W242" s="5">
        <v>44750</v>
      </c>
      <c r="X242" s="7">
        <v>0.41597222222222219</v>
      </c>
      <c r="Y242" s="22">
        <f t="shared" si="25"/>
        <v>14</v>
      </c>
      <c r="Z242" t="s">
        <v>536</v>
      </c>
      <c r="AA242" t="s">
        <v>536</v>
      </c>
      <c r="AB242">
        <v>1</v>
      </c>
      <c r="AC242" t="s">
        <v>117</v>
      </c>
      <c r="AD242" t="s">
        <v>117</v>
      </c>
      <c r="AE242" t="s">
        <v>244</v>
      </c>
      <c r="AF242" t="s">
        <v>120</v>
      </c>
      <c r="AG242" s="20">
        <v>10</v>
      </c>
      <c r="AH242" s="20">
        <v>6</v>
      </c>
      <c r="AI242" s="20">
        <v>3</v>
      </c>
      <c r="AJ242" s="22">
        <v>40</v>
      </c>
      <c r="AK242" s="22">
        <v>0</v>
      </c>
      <c r="AL242" s="22">
        <v>0</v>
      </c>
      <c r="AM242" s="74">
        <f t="shared" si="7"/>
        <v>1</v>
      </c>
      <c r="AN242" s="22" t="s">
        <v>246</v>
      </c>
      <c r="AO242" s="58">
        <v>2</v>
      </c>
      <c r="AP242" t="s">
        <v>234</v>
      </c>
      <c r="AQ242" s="22" t="s">
        <v>668</v>
      </c>
      <c r="AR242" t="s">
        <v>117</v>
      </c>
      <c r="AS242" t="s">
        <v>287</v>
      </c>
      <c r="AV242" t="s">
        <v>141</v>
      </c>
      <c r="AW242" t="s">
        <v>448</v>
      </c>
      <c r="AX242" t="s">
        <v>548</v>
      </c>
      <c r="AY242" t="s">
        <v>550</v>
      </c>
      <c r="AZ242" t="s">
        <v>458</v>
      </c>
      <c r="BA242" t="s">
        <v>458</v>
      </c>
      <c r="BB242" s="20" t="s">
        <v>545</v>
      </c>
    </row>
    <row r="243" spans="1:54" x14ac:dyDescent="0.6">
      <c r="A243" s="14" t="str">
        <f t="shared" si="22"/>
        <v>N</v>
      </c>
      <c r="B243" s="14" t="str">
        <f t="shared" si="23"/>
        <v>N</v>
      </c>
      <c r="C243" s="14" t="s">
        <v>141</v>
      </c>
      <c r="D243" t="s">
        <v>63</v>
      </c>
      <c r="E243" s="14" t="s">
        <v>141</v>
      </c>
      <c r="F243" t="str">
        <f t="shared" si="26"/>
        <v>N_Y</v>
      </c>
      <c r="G243" s="22">
        <v>129</v>
      </c>
      <c r="H243" t="s">
        <v>501</v>
      </c>
      <c r="I243" s="5">
        <v>44727</v>
      </c>
      <c r="J243" s="7">
        <v>0.54861111111111105</v>
      </c>
      <c r="K243" s="20">
        <v>12</v>
      </c>
      <c r="L243" s="20">
        <v>12</v>
      </c>
      <c r="M243" s="20">
        <v>18</v>
      </c>
      <c r="N243" t="s">
        <v>88</v>
      </c>
      <c r="O243" t="s">
        <v>154</v>
      </c>
      <c r="P243" s="22">
        <v>30</v>
      </c>
      <c r="Q243" t="s">
        <v>42</v>
      </c>
      <c r="R243" t="s">
        <v>537</v>
      </c>
      <c r="S243" t="s">
        <v>63</v>
      </c>
      <c r="T243">
        <f t="shared" ref="T243:T284" si="30">DATEDIF(I243,U243,"d")</f>
        <v>9</v>
      </c>
      <c r="U243" s="5">
        <v>44736</v>
      </c>
      <c r="V243" s="7">
        <v>0.58819444444444446</v>
      </c>
      <c r="W243" s="5">
        <v>44750</v>
      </c>
      <c r="X243" s="7">
        <v>0.41597222222222219</v>
      </c>
      <c r="Y243" s="22">
        <f t="shared" si="25"/>
        <v>14</v>
      </c>
      <c r="Z243" t="s">
        <v>536</v>
      </c>
      <c r="AA243" t="s">
        <v>536</v>
      </c>
      <c r="AB243">
        <v>2</v>
      </c>
      <c r="AC243" t="s">
        <v>287</v>
      </c>
      <c r="AD243" t="s">
        <v>287</v>
      </c>
      <c r="AE243" t="s">
        <v>242</v>
      </c>
      <c r="AF243" t="s">
        <v>402</v>
      </c>
      <c r="AG243" s="20">
        <v>10</v>
      </c>
      <c r="AH243" s="20">
        <v>3.5</v>
      </c>
      <c r="AI243" s="20">
        <v>3</v>
      </c>
      <c r="AJ243" s="22">
        <v>35</v>
      </c>
      <c r="AK243" s="22">
        <v>0</v>
      </c>
      <c r="AL243" s="22">
        <v>0</v>
      </c>
      <c r="AM243" s="74">
        <f t="shared" ref="AM243:AM323" si="31">((AJ243-AL243)/AJ243)</f>
        <v>1</v>
      </c>
      <c r="AN243" s="22" t="s">
        <v>247</v>
      </c>
      <c r="AO243" s="58">
        <v>1</v>
      </c>
      <c r="AP243" t="s">
        <v>234</v>
      </c>
      <c r="AQ243" s="22" t="s">
        <v>668</v>
      </c>
      <c r="AR243" t="s">
        <v>117</v>
      </c>
      <c r="AS243" t="s">
        <v>287</v>
      </c>
      <c r="AV243" t="s">
        <v>141</v>
      </c>
      <c r="AW243" t="s">
        <v>448</v>
      </c>
      <c r="AX243" t="s">
        <v>549</v>
      </c>
      <c r="AY243" t="s">
        <v>551</v>
      </c>
      <c r="AZ243" t="s">
        <v>458</v>
      </c>
      <c r="BA243" t="s">
        <v>458</v>
      </c>
      <c r="BB243" s="20" t="s">
        <v>545</v>
      </c>
    </row>
    <row r="244" spans="1:54" x14ac:dyDescent="0.6">
      <c r="A244" s="14" t="str">
        <f t="shared" si="22"/>
        <v>N</v>
      </c>
      <c r="B244" s="14" t="str">
        <f t="shared" si="23"/>
        <v>N</v>
      </c>
      <c r="C244" s="14" t="s">
        <v>141</v>
      </c>
      <c r="D244" t="s">
        <v>63</v>
      </c>
      <c r="E244" s="14" t="s">
        <v>141</v>
      </c>
      <c r="F244" t="str">
        <f t="shared" si="26"/>
        <v>N_Y</v>
      </c>
      <c r="G244" s="22">
        <v>130</v>
      </c>
      <c r="H244" t="s">
        <v>502</v>
      </c>
      <c r="I244" s="5">
        <v>44727</v>
      </c>
      <c r="J244" s="7">
        <v>0.54861111111111105</v>
      </c>
      <c r="K244" s="20">
        <v>11</v>
      </c>
      <c r="L244" s="20">
        <v>11</v>
      </c>
      <c r="M244" s="20">
        <v>17</v>
      </c>
      <c r="N244" t="s">
        <v>71</v>
      </c>
      <c r="O244" t="s">
        <v>210</v>
      </c>
      <c r="P244" s="22">
        <v>42</v>
      </c>
      <c r="Q244" t="s">
        <v>42</v>
      </c>
      <c r="R244" t="s">
        <v>507</v>
      </c>
      <c r="S244" s="56" t="s">
        <v>507</v>
      </c>
      <c r="T244">
        <f t="shared" si="30"/>
        <v>9</v>
      </c>
      <c r="U244" s="5">
        <v>44736</v>
      </c>
      <c r="V244" s="7">
        <v>0.59444444444444444</v>
      </c>
      <c r="W244" s="5">
        <v>44750</v>
      </c>
      <c r="X244" s="7">
        <v>0.41319444444444442</v>
      </c>
      <c r="Y244" s="22">
        <f t="shared" si="25"/>
        <v>14</v>
      </c>
      <c r="Z244" t="s">
        <v>390</v>
      </c>
      <c r="AA244" t="s">
        <v>390</v>
      </c>
      <c r="AB244">
        <v>1</v>
      </c>
      <c r="AC244" t="s">
        <v>284</v>
      </c>
      <c r="AD244" t="s">
        <v>284</v>
      </c>
      <c r="AE244" t="s">
        <v>244</v>
      </c>
      <c r="AF244" t="s">
        <v>120</v>
      </c>
      <c r="AG244" s="20">
        <v>13</v>
      </c>
      <c r="AH244" s="20">
        <v>12.5</v>
      </c>
      <c r="AI244" s="20">
        <v>6</v>
      </c>
      <c r="AJ244" s="22">
        <v>40</v>
      </c>
      <c r="AK244" s="22">
        <v>0</v>
      </c>
      <c r="AL244" s="22">
        <v>0</v>
      </c>
      <c r="AM244" s="74">
        <f t="shared" si="31"/>
        <v>1</v>
      </c>
      <c r="AN244" s="22" t="s">
        <v>247</v>
      </c>
      <c r="AO244" s="58">
        <v>1</v>
      </c>
      <c r="AP244" t="s">
        <v>234</v>
      </c>
      <c r="AQ244" s="22" t="s">
        <v>668</v>
      </c>
      <c r="AR244" t="s">
        <v>66</v>
      </c>
      <c r="AS244" t="s">
        <v>284</v>
      </c>
      <c r="AV244" t="s">
        <v>141</v>
      </c>
      <c r="AW244" t="s">
        <v>448</v>
      </c>
      <c r="AX244" t="s">
        <v>553</v>
      </c>
      <c r="AY244" t="s">
        <v>554</v>
      </c>
      <c r="AZ244" t="s">
        <v>458</v>
      </c>
      <c r="BA244" t="s">
        <v>458</v>
      </c>
      <c r="BB244" s="20" t="s">
        <v>545</v>
      </c>
    </row>
    <row r="245" spans="1:54" x14ac:dyDescent="0.6">
      <c r="A245" s="14" t="str">
        <f t="shared" si="22"/>
        <v>N</v>
      </c>
      <c r="B245" s="14" t="str">
        <f t="shared" si="23"/>
        <v>N</v>
      </c>
      <c r="C245" s="14" t="s">
        <v>141</v>
      </c>
      <c r="D245" t="s">
        <v>63</v>
      </c>
      <c r="E245" s="14" t="s">
        <v>141</v>
      </c>
      <c r="F245" t="str">
        <f t="shared" si="26"/>
        <v>N_Y</v>
      </c>
      <c r="G245" s="22">
        <v>130</v>
      </c>
      <c r="H245" t="s">
        <v>502</v>
      </c>
      <c r="I245" s="5">
        <v>44727</v>
      </c>
      <c r="J245" s="7">
        <v>0.54861111111111105</v>
      </c>
      <c r="K245" s="20">
        <v>11</v>
      </c>
      <c r="L245" s="20">
        <v>11</v>
      </c>
      <c r="M245" s="20">
        <v>17</v>
      </c>
      <c r="N245" t="s">
        <v>71</v>
      </c>
      <c r="O245" t="s">
        <v>210</v>
      </c>
      <c r="P245" s="22">
        <v>42</v>
      </c>
      <c r="Q245" t="s">
        <v>42</v>
      </c>
      <c r="R245" t="s">
        <v>507</v>
      </c>
      <c r="S245" s="56" t="s">
        <v>507</v>
      </c>
      <c r="T245">
        <f t="shared" si="30"/>
        <v>9</v>
      </c>
      <c r="U245" s="5">
        <v>44736</v>
      </c>
      <c r="V245" s="7">
        <v>0.59444444444444444</v>
      </c>
      <c r="W245" s="5">
        <v>44750</v>
      </c>
      <c r="X245" s="7">
        <v>0.41319444444444442</v>
      </c>
      <c r="Y245" s="22">
        <f t="shared" si="25"/>
        <v>14</v>
      </c>
      <c r="Z245" t="s">
        <v>390</v>
      </c>
      <c r="AA245" t="s">
        <v>390</v>
      </c>
      <c r="AB245">
        <v>2</v>
      </c>
      <c r="AC245" t="s">
        <v>66</v>
      </c>
      <c r="AD245" t="s">
        <v>351</v>
      </c>
      <c r="AE245" t="s">
        <v>242</v>
      </c>
      <c r="AF245" t="s">
        <v>67</v>
      </c>
      <c r="AG245" s="20">
        <v>4</v>
      </c>
      <c r="AH245" s="20">
        <v>3</v>
      </c>
      <c r="AI245" s="20">
        <v>9</v>
      </c>
      <c r="AJ245" s="22">
        <v>90</v>
      </c>
      <c r="AK245" s="22">
        <v>0</v>
      </c>
      <c r="AL245" s="22">
        <v>0</v>
      </c>
      <c r="AM245" s="74">
        <f t="shared" si="31"/>
        <v>1</v>
      </c>
      <c r="AN245" s="22" t="s">
        <v>246</v>
      </c>
      <c r="AO245" s="58">
        <v>2</v>
      </c>
      <c r="AP245" t="s">
        <v>234</v>
      </c>
      <c r="AQ245" s="22" t="s">
        <v>668</v>
      </c>
      <c r="AR245" t="s">
        <v>66</v>
      </c>
      <c r="AS245" t="s">
        <v>284</v>
      </c>
      <c r="AV245" t="s">
        <v>141</v>
      </c>
      <c r="AW245" t="s">
        <v>552</v>
      </c>
      <c r="AX245" t="s">
        <v>182</v>
      </c>
      <c r="AY245" t="s">
        <v>182</v>
      </c>
      <c r="AZ245" t="s">
        <v>458</v>
      </c>
      <c r="BA245" t="s">
        <v>458</v>
      </c>
    </row>
    <row r="246" spans="1:54" x14ac:dyDescent="0.6">
      <c r="A246" s="14" t="str">
        <f t="shared" si="22"/>
        <v>Y</v>
      </c>
      <c r="B246" s="14" t="str">
        <f t="shared" si="23"/>
        <v>Y</v>
      </c>
      <c r="C246" s="14" t="s">
        <v>141</v>
      </c>
      <c r="D246" t="s">
        <v>63</v>
      </c>
      <c r="E246" s="14" t="s">
        <v>141</v>
      </c>
      <c r="F246" t="str">
        <f t="shared" si="26"/>
        <v>N_Y</v>
      </c>
      <c r="G246" s="22">
        <v>131</v>
      </c>
      <c r="H246" t="s">
        <v>558</v>
      </c>
      <c r="I246" s="5">
        <v>44790</v>
      </c>
      <c r="J246" s="7">
        <v>0.59375</v>
      </c>
      <c r="K246" s="20">
        <v>12</v>
      </c>
      <c r="L246" s="20">
        <v>12</v>
      </c>
      <c r="M246" s="20">
        <v>20</v>
      </c>
      <c r="N246" t="s">
        <v>109</v>
      </c>
      <c r="O246" t="s">
        <v>561</v>
      </c>
      <c r="P246" s="22">
        <v>28</v>
      </c>
      <c r="Q246" t="s">
        <v>562</v>
      </c>
      <c r="R246" t="s">
        <v>563</v>
      </c>
      <c r="S246" t="s">
        <v>63</v>
      </c>
      <c r="T246">
        <f t="shared" si="30"/>
        <v>7</v>
      </c>
      <c r="U246" s="5">
        <v>44797</v>
      </c>
      <c r="V246" s="7">
        <v>0.55138888888888882</v>
      </c>
      <c r="W246" s="5">
        <v>44804</v>
      </c>
      <c r="X246" s="7">
        <v>0.49374999999999997</v>
      </c>
      <c r="Y246" s="22">
        <f t="shared" si="25"/>
        <v>7</v>
      </c>
      <c r="Z246" t="s">
        <v>405</v>
      </c>
      <c r="AA246" t="s">
        <v>405</v>
      </c>
      <c r="AB246">
        <v>1</v>
      </c>
      <c r="AC246" t="s">
        <v>98</v>
      </c>
      <c r="AD246" t="s">
        <v>98</v>
      </c>
      <c r="AE246" t="s">
        <v>244</v>
      </c>
      <c r="AF246" t="s">
        <v>97</v>
      </c>
      <c r="AG246" s="20">
        <v>12</v>
      </c>
      <c r="AH246" s="20">
        <v>7.5</v>
      </c>
      <c r="AI246" s="20">
        <v>2</v>
      </c>
      <c r="AJ246" s="22">
        <v>100</v>
      </c>
      <c r="AK246" s="22">
        <v>0</v>
      </c>
      <c r="AL246" s="22">
        <v>100</v>
      </c>
      <c r="AM246" s="77">
        <f t="shared" si="31"/>
        <v>0</v>
      </c>
      <c r="AN246" s="22" t="s">
        <v>245</v>
      </c>
      <c r="AO246" s="58">
        <v>0</v>
      </c>
      <c r="AP246" t="s">
        <v>233</v>
      </c>
      <c r="AQ246" s="22" t="s">
        <v>667</v>
      </c>
      <c r="AR246" t="s">
        <v>119</v>
      </c>
      <c r="AT246" t="s">
        <v>98</v>
      </c>
      <c r="AV246" t="s">
        <v>325</v>
      </c>
      <c r="AW246" t="s">
        <v>182</v>
      </c>
      <c r="AX246" t="s">
        <v>182</v>
      </c>
      <c r="AY246" t="s">
        <v>182</v>
      </c>
      <c r="AZ246" t="s">
        <v>182</v>
      </c>
      <c r="BA246" t="s">
        <v>182</v>
      </c>
      <c r="BB246" s="20" t="s">
        <v>578</v>
      </c>
    </row>
    <row r="247" spans="1:54" x14ac:dyDescent="0.6">
      <c r="A247" s="14" t="str">
        <f t="shared" si="22"/>
        <v>Y</v>
      </c>
      <c r="B247" s="14" t="str">
        <f t="shared" si="23"/>
        <v>Y</v>
      </c>
      <c r="C247" s="14" t="s">
        <v>141</v>
      </c>
      <c r="D247" t="s">
        <v>63</v>
      </c>
      <c r="E247" s="14" t="s">
        <v>141</v>
      </c>
      <c r="F247" t="str">
        <f t="shared" si="26"/>
        <v>N_Y</v>
      </c>
      <c r="G247" s="22">
        <v>131</v>
      </c>
      <c r="H247" t="s">
        <v>558</v>
      </c>
      <c r="I247" s="5">
        <v>44790</v>
      </c>
      <c r="J247" s="7">
        <v>0.59375</v>
      </c>
      <c r="K247" s="20">
        <v>12</v>
      </c>
      <c r="L247" s="20">
        <v>12</v>
      </c>
      <c r="M247" s="20">
        <v>20</v>
      </c>
      <c r="N247" t="s">
        <v>109</v>
      </c>
      <c r="O247" t="s">
        <v>561</v>
      </c>
      <c r="P247" s="22">
        <v>28</v>
      </c>
      <c r="Q247" t="s">
        <v>562</v>
      </c>
      <c r="R247" t="s">
        <v>563</v>
      </c>
      <c r="S247" t="s">
        <v>63</v>
      </c>
      <c r="T247">
        <f t="shared" si="30"/>
        <v>7</v>
      </c>
      <c r="U247" s="5">
        <v>44797</v>
      </c>
      <c r="V247" s="7">
        <v>0.55138888888888882</v>
      </c>
      <c r="W247" s="5">
        <v>44804</v>
      </c>
      <c r="X247" s="7">
        <v>0.49374999999999997</v>
      </c>
      <c r="Y247" s="22">
        <f t="shared" si="25"/>
        <v>7</v>
      </c>
      <c r="Z247" t="s">
        <v>405</v>
      </c>
      <c r="AA247" t="s">
        <v>405</v>
      </c>
      <c r="AB247">
        <v>2</v>
      </c>
      <c r="AC247" t="s">
        <v>119</v>
      </c>
      <c r="AD247" t="s">
        <v>119</v>
      </c>
      <c r="AE247" t="s">
        <v>242</v>
      </c>
      <c r="AF247" t="s">
        <v>120</v>
      </c>
      <c r="AG247" s="20">
        <v>12</v>
      </c>
      <c r="AH247" s="20">
        <v>9</v>
      </c>
      <c r="AI247" s="20">
        <v>5</v>
      </c>
      <c r="AJ247" s="22">
        <v>15</v>
      </c>
      <c r="AK247" s="22">
        <v>0</v>
      </c>
      <c r="AL247" s="22">
        <v>0</v>
      </c>
      <c r="AM247" s="77">
        <f t="shared" si="31"/>
        <v>1</v>
      </c>
      <c r="AN247" s="22" t="s">
        <v>246</v>
      </c>
      <c r="AO247" s="58">
        <v>2</v>
      </c>
      <c r="AP247" t="s">
        <v>234</v>
      </c>
      <c r="AQ247" s="22" t="s">
        <v>667</v>
      </c>
      <c r="AR247" t="s">
        <v>119</v>
      </c>
      <c r="AT247" t="s">
        <v>98</v>
      </c>
      <c r="AV247" t="s">
        <v>325</v>
      </c>
      <c r="AW247" t="s">
        <v>448</v>
      </c>
      <c r="AX247" t="s">
        <v>579</v>
      </c>
      <c r="AY247" t="s">
        <v>580</v>
      </c>
      <c r="AZ247" t="s">
        <v>458</v>
      </c>
      <c r="BA247" t="s">
        <v>458</v>
      </c>
    </row>
    <row r="248" spans="1:54" x14ac:dyDescent="0.6">
      <c r="A248" s="14" t="str">
        <f t="shared" si="22"/>
        <v>Y</v>
      </c>
      <c r="B248" s="14" t="str">
        <f t="shared" si="23"/>
        <v>Y</v>
      </c>
      <c r="C248" s="14" t="s">
        <v>141</v>
      </c>
      <c r="D248" t="s">
        <v>63</v>
      </c>
      <c r="E248" s="14" t="s">
        <v>141</v>
      </c>
      <c r="F248" t="str">
        <f t="shared" si="26"/>
        <v>N_Y</v>
      </c>
      <c r="G248" s="22">
        <v>132</v>
      </c>
      <c r="H248" t="s">
        <v>559</v>
      </c>
      <c r="I248" s="5">
        <v>44790</v>
      </c>
      <c r="J248" s="7">
        <v>0.59375</v>
      </c>
      <c r="K248" s="20">
        <v>10</v>
      </c>
      <c r="L248" s="20">
        <v>10.5</v>
      </c>
      <c r="M248" s="20">
        <v>16</v>
      </c>
      <c r="N248" t="s">
        <v>109</v>
      </c>
      <c r="O248" t="s">
        <v>561</v>
      </c>
      <c r="P248" s="22">
        <v>28</v>
      </c>
      <c r="Q248" t="s">
        <v>79</v>
      </c>
      <c r="R248" t="s">
        <v>564</v>
      </c>
      <c r="S248" t="s">
        <v>63</v>
      </c>
      <c r="T248">
        <f t="shared" si="30"/>
        <v>7</v>
      </c>
      <c r="U248" s="5">
        <v>44797</v>
      </c>
      <c r="V248" s="7">
        <v>0.54791666666666672</v>
      </c>
      <c r="W248" s="5">
        <v>44804</v>
      </c>
      <c r="X248" s="7">
        <v>0.48819444444444443</v>
      </c>
      <c r="Y248" s="22">
        <f t="shared" si="25"/>
        <v>7</v>
      </c>
      <c r="Z248" t="s">
        <v>511</v>
      </c>
      <c r="AA248" t="s">
        <v>511</v>
      </c>
      <c r="AB248">
        <v>1</v>
      </c>
      <c r="AC248" t="s">
        <v>46</v>
      </c>
      <c r="AD248" t="s">
        <v>352</v>
      </c>
      <c r="AE248" t="s">
        <v>244</v>
      </c>
      <c r="AF248" t="s">
        <v>47</v>
      </c>
      <c r="AG248" s="20">
        <v>10</v>
      </c>
      <c r="AH248" s="20">
        <v>8</v>
      </c>
      <c r="AI248" s="20">
        <v>5</v>
      </c>
      <c r="AJ248" s="22">
        <v>55</v>
      </c>
      <c r="AK248" s="22">
        <v>0</v>
      </c>
      <c r="AL248" s="22">
        <v>55</v>
      </c>
      <c r="AM248" s="77">
        <f t="shared" si="31"/>
        <v>0</v>
      </c>
      <c r="AN248" s="22" t="s">
        <v>245</v>
      </c>
      <c r="AO248" s="58">
        <v>0</v>
      </c>
      <c r="AP248" t="s">
        <v>233</v>
      </c>
      <c r="AQ248" s="22" t="s">
        <v>667</v>
      </c>
      <c r="AR248" t="s">
        <v>118</v>
      </c>
      <c r="AT248" t="s">
        <v>46</v>
      </c>
      <c r="AV248" t="s">
        <v>325</v>
      </c>
      <c r="AW248" t="s">
        <v>182</v>
      </c>
      <c r="AX248" t="s">
        <v>182</v>
      </c>
      <c r="AY248" t="s">
        <v>182</v>
      </c>
      <c r="AZ248" t="s">
        <v>182</v>
      </c>
      <c r="BA248" t="s">
        <v>182</v>
      </c>
    </row>
    <row r="249" spans="1:54" x14ac:dyDescent="0.6">
      <c r="A249" s="14" t="str">
        <f t="shared" si="22"/>
        <v>Y</v>
      </c>
      <c r="B249" s="14" t="str">
        <f t="shared" si="23"/>
        <v>Y</v>
      </c>
      <c r="C249" s="14" t="s">
        <v>141</v>
      </c>
      <c r="D249" t="s">
        <v>63</v>
      </c>
      <c r="E249" s="14" t="s">
        <v>141</v>
      </c>
      <c r="F249" t="str">
        <f t="shared" si="26"/>
        <v>N_Y</v>
      </c>
      <c r="G249" s="22">
        <v>132</v>
      </c>
      <c r="H249" t="s">
        <v>559</v>
      </c>
      <c r="I249" s="5">
        <v>44790</v>
      </c>
      <c r="J249" s="7">
        <v>0.59375</v>
      </c>
      <c r="K249" s="20">
        <v>10</v>
      </c>
      <c r="L249" s="20">
        <v>10.5</v>
      </c>
      <c r="M249" s="20">
        <v>16</v>
      </c>
      <c r="N249" t="s">
        <v>109</v>
      </c>
      <c r="O249" t="s">
        <v>561</v>
      </c>
      <c r="P249" s="22">
        <v>28</v>
      </c>
      <c r="Q249" t="s">
        <v>79</v>
      </c>
      <c r="R249" t="s">
        <v>564</v>
      </c>
      <c r="S249" t="s">
        <v>63</v>
      </c>
      <c r="T249">
        <f t="shared" si="30"/>
        <v>7</v>
      </c>
      <c r="U249" s="5">
        <v>44797</v>
      </c>
      <c r="V249" s="7">
        <v>0.54791666666666672</v>
      </c>
      <c r="W249" s="5">
        <v>44804</v>
      </c>
      <c r="X249" s="7">
        <v>0.48819444444444443</v>
      </c>
      <c r="Y249" s="22">
        <f t="shared" si="25"/>
        <v>7</v>
      </c>
      <c r="Z249" t="s">
        <v>511</v>
      </c>
      <c r="AA249" t="s">
        <v>511</v>
      </c>
      <c r="AB249">
        <v>2</v>
      </c>
      <c r="AC249" t="s">
        <v>118</v>
      </c>
      <c r="AD249" t="s">
        <v>118</v>
      </c>
      <c r="AE249" t="s">
        <v>242</v>
      </c>
      <c r="AF249" t="s">
        <v>121</v>
      </c>
      <c r="AG249" s="20">
        <v>11</v>
      </c>
      <c r="AH249" s="20">
        <v>6</v>
      </c>
      <c r="AI249" s="20">
        <v>5</v>
      </c>
      <c r="AJ249" s="22">
        <v>15</v>
      </c>
      <c r="AK249" s="22">
        <v>0</v>
      </c>
      <c r="AL249" s="22">
        <v>5</v>
      </c>
      <c r="AM249" s="77">
        <f t="shared" si="31"/>
        <v>0.66666666666666663</v>
      </c>
      <c r="AN249" s="22" t="s">
        <v>246</v>
      </c>
      <c r="AO249" s="58">
        <v>2</v>
      </c>
      <c r="AP249" t="s">
        <v>234</v>
      </c>
      <c r="AQ249" s="22" t="s">
        <v>667</v>
      </c>
      <c r="AR249" t="s">
        <v>118</v>
      </c>
      <c r="AT249" t="s">
        <v>46</v>
      </c>
      <c r="AV249" t="s">
        <v>325</v>
      </c>
      <c r="AW249" t="s">
        <v>448</v>
      </c>
      <c r="AX249" t="s">
        <v>581</v>
      </c>
      <c r="AY249" t="s">
        <v>582</v>
      </c>
      <c r="AZ249" t="s">
        <v>182</v>
      </c>
      <c r="BA249" t="s">
        <v>182</v>
      </c>
      <c r="BB249" s="20" t="s">
        <v>583</v>
      </c>
    </row>
    <row r="250" spans="1:54" x14ac:dyDescent="0.6">
      <c r="A250" s="14" t="str">
        <f t="shared" si="22"/>
        <v>Y</v>
      </c>
      <c r="B250" s="14" t="str">
        <f t="shared" si="23"/>
        <v>Y</v>
      </c>
      <c r="C250" s="14" t="s">
        <v>141</v>
      </c>
      <c r="D250" t="s">
        <v>63</v>
      </c>
      <c r="E250" s="14" t="s">
        <v>141</v>
      </c>
      <c r="F250" t="str">
        <f t="shared" si="26"/>
        <v>N_Y</v>
      </c>
      <c r="G250" s="22">
        <v>133</v>
      </c>
      <c r="H250" t="s">
        <v>500</v>
      </c>
      <c r="I250" s="5">
        <v>44790</v>
      </c>
      <c r="J250" s="7">
        <v>0.59375</v>
      </c>
      <c r="K250" s="20">
        <v>12.5</v>
      </c>
      <c r="L250" s="20">
        <v>12</v>
      </c>
      <c r="M250" s="20">
        <v>18</v>
      </c>
      <c r="N250" t="s">
        <v>109</v>
      </c>
      <c r="O250" t="s">
        <v>565</v>
      </c>
      <c r="P250" s="22">
        <v>30</v>
      </c>
      <c r="Q250" t="s">
        <v>56</v>
      </c>
      <c r="R250" t="s">
        <v>566</v>
      </c>
      <c r="S250" t="s">
        <v>63</v>
      </c>
      <c r="T250">
        <f t="shared" si="30"/>
        <v>7</v>
      </c>
      <c r="U250" s="5">
        <v>44797</v>
      </c>
      <c r="V250" s="7">
        <v>0.54027777777777775</v>
      </c>
      <c r="W250" s="5">
        <v>44804</v>
      </c>
      <c r="X250" s="7">
        <v>0.48680555555555555</v>
      </c>
      <c r="Y250" s="22">
        <f t="shared" si="25"/>
        <v>7</v>
      </c>
      <c r="Z250" t="s">
        <v>536</v>
      </c>
      <c r="AA250" t="s">
        <v>536</v>
      </c>
      <c r="AB250">
        <v>1</v>
      </c>
      <c r="AC250" t="s">
        <v>117</v>
      </c>
      <c r="AD250" t="s">
        <v>117</v>
      </c>
      <c r="AE250" t="s">
        <v>244</v>
      </c>
      <c r="AF250" t="s">
        <v>120</v>
      </c>
      <c r="AG250" s="20">
        <v>13</v>
      </c>
      <c r="AH250" s="20">
        <v>7.5</v>
      </c>
      <c r="AI250" s="20">
        <v>7</v>
      </c>
      <c r="AJ250" s="22">
        <v>30</v>
      </c>
      <c r="AK250" s="22">
        <v>0</v>
      </c>
      <c r="AL250" s="22">
        <v>25</v>
      </c>
      <c r="AM250" s="77">
        <f t="shared" si="31"/>
        <v>0.16666666666666666</v>
      </c>
      <c r="AN250" s="22" t="s">
        <v>247</v>
      </c>
      <c r="AO250" s="58">
        <v>1</v>
      </c>
      <c r="AP250" t="s">
        <v>234</v>
      </c>
      <c r="AQ250" s="22" t="s">
        <v>668</v>
      </c>
      <c r="AR250" t="s">
        <v>287</v>
      </c>
      <c r="AS250" t="s">
        <v>117</v>
      </c>
      <c r="AV250" t="s">
        <v>141</v>
      </c>
      <c r="AW250" t="s">
        <v>448</v>
      </c>
      <c r="AX250" t="s">
        <v>584</v>
      </c>
      <c r="AY250" t="s">
        <v>586</v>
      </c>
      <c r="AZ250" t="s">
        <v>458</v>
      </c>
      <c r="BA250" t="s">
        <v>458</v>
      </c>
      <c r="BB250" s="20" t="s">
        <v>588</v>
      </c>
    </row>
    <row r="251" spans="1:54" x14ac:dyDescent="0.6">
      <c r="A251" s="14" t="str">
        <f t="shared" si="22"/>
        <v>Y</v>
      </c>
      <c r="B251" s="14" t="str">
        <f t="shared" si="23"/>
        <v>Y</v>
      </c>
      <c r="C251" s="14" t="s">
        <v>141</v>
      </c>
      <c r="D251" t="s">
        <v>63</v>
      </c>
      <c r="E251" s="14" t="s">
        <v>141</v>
      </c>
      <c r="F251" t="str">
        <f t="shared" si="26"/>
        <v>N_Y</v>
      </c>
      <c r="G251" s="22">
        <v>133</v>
      </c>
      <c r="H251" t="s">
        <v>500</v>
      </c>
      <c r="I251" s="5">
        <v>44790</v>
      </c>
      <c r="J251" s="7">
        <v>0.59375</v>
      </c>
      <c r="K251" s="20">
        <v>12.5</v>
      </c>
      <c r="L251" s="20">
        <v>12</v>
      </c>
      <c r="M251" s="20">
        <v>18</v>
      </c>
      <c r="N251" t="s">
        <v>109</v>
      </c>
      <c r="O251" t="s">
        <v>565</v>
      </c>
      <c r="P251" s="22">
        <v>30</v>
      </c>
      <c r="Q251" t="s">
        <v>56</v>
      </c>
      <c r="R251" t="s">
        <v>566</v>
      </c>
      <c r="S251" t="s">
        <v>63</v>
      </c>
      <c r="T251">
        <f t="shared" si="30"/>
        <v>7</v>
      </c>
      <c r="U251" s="5">
        <v>44797</v>
      </c>
      <c r="V251" s="7">
        <v>0.54027777777777775</v>
      </c>
      <c r="W251" s="5">
        <v>44804</v>
      </c>
      <c r="X251" s="7">
        <v>0.48680555555555555</v>
      </c>
      <c r="Y251" s="22">
        <f t="shared" si="25"/>
        <v>7</v>
      </c>
      <c r="Z251" t="s">
        <v>536</v>
      </c>
      <c r="AA251" t="s">
        <v>536</v>
      </c>
      <c r="AB251">
        <v>2</v>
      </c>
      <c r="AC251" t="s">
        <v>287</v>
      </c>
      <c r="AD251" t="s">
        <v>287</v>
      </c>
      <c r="AE251" t="s">
        <v>242</v>
      </c>
      <c r="AF251" t="s">
        <v>402</v>
      </c>
      <c r="AG251" s="20">
        <v>9.5</v>
      </c>
      <c r="AH251" s="20">
        <v>6</v>
      </c>
      <c r="AI251" s="20">
        <v>4.5</v>
      </c>
      <c r="AJ251" s="22">
        <v>50</v>
      </c>
      <c r="AK251" s="22">
        <v>0</v>
      </c>
      <c r="AL251" s="22">
        <v>0</v>
      </c>
      <c r="AM251" s="77">
        <f t="shared" si="31"/>
        <v>1</v>
      </c>
      <c r="AN251" s="22" t="s">
        <v>246</v>
      </c>
      <c r="AO251" s="58">
        <v>2</v>
      </c>
      <c r="AP251" t="s">
        <v>234</v>
      </c>
      <c r="AQ251" s="22" t="s">
        <v>668</v>
      </c>
      <c r="AR251" t="s">
        <v>287</v>
      </c>
      <c r="AS251" t="s">
        <v>117</v>
      </c>
      <c r="AV251" t="s">
        <v>141</v>
      </c>
      <c r="AW251" t="s">
        <v>448</v>
      </c>
      <c r="AX251" t="s">
        <v>585</v>
      </c>
      <c r="AY251" t="s">
        <v>587</v>
      </c>
      <c r="AZ251" t="s">
        <v>458</v>
      </c>
      <c r="BA251" t="s">
        <v>458</v>
      </c>
    </row>
    <row r="252" spans="1:54" x14ac:dyDescent="0.6">
      <c r="A252" s="14" t="str">
        <f t="shared" si="22"/>
        <v>Y</v>
      </c>
      <c r="B252" s="14" t="str">
        <f t="shared" si="23"/>
        <v>Y</v>
      </c>
      <c r="C252" s="14" t="s">
        <v>141</v>
      </c>
      <c r="D252" t="s">
        <v>63</v>
      </c>
      <c r="E252" s="14" t="s">
        <v>141</v>
      </c>
      <c r="F252" t="str">
        <f t="shared" si="26"/>
        <v>N_Y</v>
      </c>
      <c r="G252" s="22">
        <v>135</v>
      </c>
      <c r="H252" t="s">
        <v>560</v>
      </c>
      <c r="I252" s="5">
        <v>44790</v>
      </c>
      <c r="J252" s="7">
        <v>0.59375</v>
      </c>
      <c r="K252" s="20">
        <v>11.5</v>
      </c>
      <c r="L252" s="20">
        <v>11.5</v>
      </c>
      <c r="M252" s="20">
        <v>17</v>
      </c>
      <c r="N252" t="s">
        <v>109</v>
      </c>
      <c r="O252" t="s">
        <v>561</v>
      </c>
      <c r="P252" s="22">
        <v>28</v>
      </c>
      <c r="Q252" t="s">
        <v>162</v>
      </c>
      <c r="R252" t="s">
        <v>567</v>
      </c>
      <c r="S252" s="56" t="s">
        <v>567</v>
      </c>
      <c r="T252">
        <f t="shared" si="30"/>
        <v>7</v>
      </c>
      <c r="U252" s="5">
        <v>44797</v>
      </c>
      <c r="V252" s="7">
        <v>0.53541666666666665</v>
      </c>
      <c r="W252" s="5">
        <v>44804</v>
      </c>
      <c r="X252" s="7">
        <v>0.48194444444444445</v>
      </c>
      <c r="Y252" s="22">
        <f t="shared" si="25"/>
        <v>7</v>
      </c>
      <c r="Z252" t="s">
        <v>511</v>
      </c>
      <c r="AA252" t="s">
        <v>511</v>
      </c>
      <c r="AB252">
        <v>1</v>
      </c>
      <c r="AC252" t="s">
        <v>118</v>
      </c>
      <c r="AD252" t="s">
        <v>118</v>
      </c>
      <c r="AE252" t="s">
        <v>244</v>
      </c>
      <c r="AF252" t="s">
        <v>121</v>
      </c>
      <c r="AG252" s="20">
        <v>18</v>
      </c>
      <c r="AH252" s="20">
        <v>6</v>
      </c>
      <c r="AI252" s="20">
        <v>11</v>
      </c>
      <c r="AJ252" s="22">
        <v>15</v>
      </c>
      <c r="AK252" s="22">
        <v>0</v>
      </c>
      <c r="AL252" s="22">
        <v>15</v>
      </c>
      <c r="AM252" s="77">
        <f t="shared" si="31"/>
        <v>0</v>
      </c>
      <c r="AN252" s="22" t="s">
        <v>245</v>
      </c>
      <c r="AO252" s="58">
        <v>0</v>
      </c>
      <c r="AP252" t="s">
        <v>233</v>
      </c>
      <c r="AQ252" s="22" t="s">
        <v>667</v>
      </c>
      <c r="AT252" t="s">
        <v>46</v>
      </c>
      <c r="AU252" t="s">
        <v>118</v>
      </c>
      <c r="AV252" t="s">
        <v>324</v>
      </c>
      <c r="AW252" t="s">
        <v>182</v>
      </c>
      <c r="AX252" t="s">
        <v>182</v>
      </c>
      <c r="AY252" t="s">
        <v>182</v>
      </c>
      <c r="AZ252" t="s">
        <v>182</v>
      </c>
      <c r="BA252" t="s">
        <v>182</v>
      </c>
      <c r="BB252" s="20" t="s">
        <v>590</v>
      </c>
    </row>
    <row r="253" spans="1:54" x14ac:dyDescent="0.6">
      <c r="A253" s="14" t="str">
        <f t="shared" si="22"/>
        <v>Y</v>
      </c>
      <c r="B253" s="14" t="str">
        <f t="shared" si="23"/>
        <v>Y</v>
      </c>
      <c r="C253" s="14" t="s">
        <v>141</v>
      </c>
      <c r="D253" t="s">
        <v>63</v>
      </c>
      <c r="E253" s="14" t="s">
        <v>141</v>
      </c>
      <c r="F253" t="str">
        <f t="shared" si="26"/>
        <v>N_Y</v>
      </c>
      <c r="G253" s="22">
        <v>135</v>
      </c>
      <c r="H253" t="s">
        <v>560</v>
      </c>
      <c r="I253" s="5">
        <v>44790</v>
      </c>
      <c r="J253" s="7">
        <v>0.59375</v>
      </c>
      <c r="K253" s="20">
        <v>11.5</v>
      </c>
      <c r="L253" s="20">
        <v>11.5</v>
      </c>
      <c r="M253" s="20">
        <v>17</v>
      </c>
      <c r="N253" t="s">
        <v>109</v>
      </c>
      <c r="O253" t="s">
        <v>561</v>
      </c>
      <c r="P253" s="22">
        <v>28</v>
      </c>
      <c r="Q253" t="s">
        <v>162</v>
      </c>
      <c r="R253" t="s">
        <v>567</v>
      </c>
      <c r="S253" s="56" t="s">
        <v>567</v>
      </c>
      <c r="T253">
        <f t="shared" si="30"/>
        <v>7</v>
      </c>
      <c r="U253" s="5">
        <v>44797</v>
      </c>
      <c r="V253" s="7">
        <v>0.53541666666666665</v>
      </c>
      <c r="W253" s="5">
        <v>44804</v>
      </c>
      <c r="X253" s="7">
        <v>0.48194444444444445</v>
      </c>
      <c r="Y253" s="22">
        <f t="shared" si="25"/>
        <v>7</v>
      </c>
      <c r="Z253" t="s">
        <v>511</v>
      </c>
      <c r="AA253" t="s">
        <v>511</v>
      </c>
      <c r="AB253">
        <v>2</v>
      </c>
      <c r="AC253" t="s">
        <v>46</v>
      </c>
      <c r="AD253" t="s">
        <v>352</v>
      </c>
      <c r="AE253" t="s">
        <v>242</v>
      </c>
      <c r="AF253" t="s">
        <v>47</v>
      </c>
      <c r="AG253" s="20">
        <v>6</v>
      </c>
      <c r="AH253" s="20">
        <v>5.5</v>
      </c>
      <c r="AI253" s="20">
        <v>4.5</v>
      </c>
      <c r="AJ253" s="22">
        <v>85</v>
      </c>
      <c r="AK253" s="22">
        <v>0</v>
      </c>
      <c r="AL253" s="22">
        <v>85</v>
      </c>
      <c r="AM253" s="77">
        <f t="shared" si="31"/>
        <v>0</v>
      </c>
      <c r="AN253" s="22" t="s">
        <v>245</v>
      </c>
      <c r="AO253" s="58">
        <v>0</v>
      </c>
      <c r="AP253" t="s">
        <v>233</v>
      </c>
      <c r="AQ253" s="22" t="s">
        <v>667</v>
      </c>
      <c r="AT253" t="s">
        <v>46</v>
      </c>
      <c r="AU253" t="s">
        <v>118</v>
      </c>
      <c r="AV253" t="s">
        <v>324</v>
      </c>
      <c r="AW253" t="s">
        <v>182</v>
      </c>
      <c r="AX253" t="s">
        <v>182</v>
      </c>
      <c r="AY253" t="s">
        <v>182</v>
      </c>
      <c r="AZ253" t="s">
        <v>182</v>
      </c>
      <c r="BA253" t="s">
        <v>182</v>
      </c>
      <c r="BB253" s="20" t="s">
        <v>590</v>
      </c>
    </row>
    <row r="254" spans="1:54" x14ac:dyDescent="0.6">
      <c r="A254" s="14" t="str">
        <f t="shared" si="22"/>
        <v>Y</v>
      </c>
      <c r="B254" s="14" t="str">
        <f t="shared" si="23"/>
        <v>N</v>
      </c>
      <c r="C254" s="14" t="s">
        <v>141</v>
      </c>
      <c r="D254" t="s">
        <v>63</v>
      </c>
      <c r="E254" s="14" t="s">
        <v>141</v>
      </c>
      <c r="F254" t="str">
        <f t="shared" si="26"/>
        <v>N_Y</v>
      </c>
      <c r="G254" s="22">
        <v>136</v>
      </c>
      <c r="H254" t="s">
        <v>558</v>
      </c>
      <c r="I254" s="5">
        <v>44797</v>
      </c>
      <c r="J254" s="7">
        <v>0.45833333333333331</v>
      </c>
      <c r="K254" s="20">
        <v>11</v>
      </c>
      <c r="L254" s="20">
        <v>11</v>
      </c>
      <c r="M254" s="20">
        <v>16</v>
      </c>
      <c r="N254" t="s">
        <v>71</v>
      </c>
      <c r="O254" t="s">
        <v>569</v>
      </c>
      <c r="P254" s="22">
        <v>50</v>
      </c>
      <c r="Q254" t="s">
        <v>42</v>
      </c>
      <c r="R254" t="s">
        <v>571</v>
      </c>
      <c r="S254" s="56" t="s">
        <v>571</v>
      </c>
      <c r="T254">
        <f t="shared" si="30"/>
        <v>7</v>
      </c>
      <c r="U254" s="5">
        <v>44804</v>
      </c>
      <c r="V254" s="7">
        <v>0.59513888888888888</v>
      </c>
      <c r="W254" s="5">
        <v>44818</v>
      </c>
      <c r="X254" s="7">
        <v>0.53402777777777777</v>
      </c>
      <c r="Y254" s="22">
        <f t="shared" si="25"/>
        <v>14</v>
      </c>
      <c r="Z254" t="s">
        <v>576</v>
      </c>
      <c r="AA254" t="s">
        <v>576</v>
      </c>
      <c r="AB254">
        <v>1</v>
      </c>
      <c r="AC254" t="s">
        <v>118</v>
      </c>
      <c r="AD254" t="s">
        <v>118</v>
      </c>
      <c r="AE254" t="s">
        <v>242</v>
      </c>
      <c r="AF254" t="s">
        <v>121</v>
      </c>
      <c r="AG254" s="20">
        <v>18</v>
      </c>
      <c r="AH254" s="20">
        <v>11</v>
      </c>
      <c r="AI254" s="20">
        <v>9</v>
      </c>
      <c r="AJ254" s="22">
        <v>40</v>
      </c>
      <c r="AK254" s="22">
        <v>0</v>
      </c>
      <c r="AL254" s="22">
        <v>30</v>
      </c>
      <c r="AM254" s="74">
        <f t="shared" si="31"/>
        <v>0.25</v>
      </c>
      <c r="AN254" s="22" t="s">
        <v>246</v>
      </c>
      <c r="AO254" s="58">
        <v>2</v>
      </c>
      <c r="AP254" t="s">
        <v>234</v>
      </c>
      <c r="AQ254" s="22" t="s">
        <v>667</v>
      </c>
      <c r="AR254" t="s">
        <v>118</v>
      </c>
      <c r="AT254" t="s">
        <v>98</v>
      </c>
      <c r="AV254" t="s">
        <v>325</v>
      </c>
      <c r="AW254" t="s">
        <v>448</v>
      </c>
      <c r="AX254" t="s">
        <v>592</v>
      </c>
      <c r="AY254" t="s">
        <v>593</v>
      </c>
      <c r="AZ254" t="s">
        <v>458</v>
      </c>
      <c r="BA254" t="s">
        <v>458</v>
      </c>
      <c r="BB254" s="20" t="s">
        <v>594</v>
      </c>
    </row>
    <row r="255" spans="1:54" x14ac:dyDescent="0.6">
      <c r="A255" s="14" t="str">
        <f t="shared" si="22"/>
        <v>Y</v>
      </c>
      <c r="B255" s="14" t="str">
        <f t="shared" si="23"/>
        <v>N</v>
      </c>
      <c r="C255" s="14" t="s">
        <v>141</v>
      </c>
      <c r="D255" t="s">
        <v>63</v>
      </c>
      <c r="E255" s="14" t="s">
        <v>141</v>
      </c>
      <c r="F255" t="str">
        <f t="shared" si="26"/>
        <v>N_Y</v>
      </c>
      <c r="G255" s="22">
        <v>136</v>
      </c>
      <c r="H255" t="s">
        <v>558</v>
      </c>
      <c r="I255" s="5">
        <v>44797</v>
      </c>
      <c r="J255" s="7">
        <v>0.45833333333333331</v>
      </c>
      <c r="K255" s="20">
        <v>11</v>
      </c>
      <c r="L255" s="20">
        <v>11</v>
      </c>
      <c r="M255" s="20">
        <v>16</v>
      </c>
      <c r="N255" t="s">
        <v>71</v>
      </c>
      <c r="O255" t="s">
        <v>569</v>
      </c>
      <c r="P255" s="22">
        <v>50</v>
      </c>
      <c r="Q255" t="s">
        <v>42</v>
      </c>
      <c r="R255" t="s">
        <v>571</v>
      </c>
      <c r="S255" s="56" t="s">
        <v>571</v>
      </c>
      <c r="T255">
        <f t="shared" si="30"/>
        <v>7</v>
      </c>
      <c r="U255" s="5">
        <v>44804</v>
      </c>
      <c r="V255" s="7">
        <v>0.59513888888888888</v>
      </c>
      <c r="W255" s="5">
        <v>44818</v>
      </c>
      <c r="X255" s="7">
        <v>0.53402777777777777</v>
      </c>
      <c r="Y255" s="22">
        <f t="shared" si="25"/>
        <v>14</v>
      </c>
      <c r="Z255" t="s">
        <v>576</v>
      </c>
      <c r="AA255" t="s">
        <v>576</v>
      </c>
      <c r="AB255">
        <v>2</v>
      </c>
      <c r="AC255" t="s">
        <v>98</v>
      </c>
      <c r="AD255" t="s">
        <v>98</v>
      </c>
      <c r="AE255" t="s">
        <v>244</v>
      </c>
      <c r="AF255" t="s">
        <v>97</v>
      </c>
      <c r="AG255" s="20">
        <v>10</v>
      </c>
      <c r="AH255" s="20">
        <v>7.5</v>
      </c>
      <c r="AI255" s="20">
        <v>3</v>
      </c>
      <c r="AJ255" s="22">
        <v>100</v>
      </c>
      <c r="AK255" s="22">
        <v>0</v>
      </c>
      <c r="AL255" s="22">
        <v>100</v>
      </c>
      <c r="AM255" s="74">
        <f t="shared" si="31"/>
        <v>0</v>
      </c>
      <c r="AN255" s="22" t="s">
        <v>245</v>
      </c>
      <c r="AO255" s="58">
        <v>0</v>
      </c>
      <c r="AP255" t="s">
        <v>233</v>
      </c>
      <c r="AQ255" s="22" t="s">
        <v>667</v>
      </c>
      <c r="AR255" t="s">
        <v>118</v>
      </c>
      <c r="AT255" t="s">
        <v>98</v>
      </c>
      <c r="AV255" t="s">
        <v>325</v>
      </c>
      <c r="AW255" t="s">
        <v>182</v>
      </c>
      <c r="AX255" t="s">
        <v>182</v>
      </c>
      <c r="AY255" t="s">
        <v>182</v>
      </c>
      <c r="AZ255" t="s">
        <v>458</v>
      </c>
      <c r="BA255" t="s">
        <v>458</v>
      </c>
    </row>
    <row r="256" spans="1:54" x14ac:dyDescent="0.6">
      <c r="A256" s="14" t="str">
        <f t="shared" si="22"/>
        <v>Y</v>
      </c>
      <c r="B256" s="14" t="str">
        <f t="shared" si="23"/>
        <v>N</v>
      </c>
      <c r="C256" s="14" t="s">
        <v>141</v>
      </c>
      <c r="D256" t="s">
        <v>141</v>
      </c>
      <c r="E256" s="14" t="s">
        <v>141</v>
      </c>
      <c r="F256" t="str">
        <f t="shared" si="26"/>
        <v>Y_Y</v>
      </c>
      <c r="G256" s="22">
        <v>137</v>
      </c>
      <c r="H256" t="s">
        <v>559</v>
      </c>
      <c r="I256" s="5">
        <v>44797</v>
      </c>
      <c r="J256" s="7">
        <v>0.45833333333333331</v>
      </c>
      <c r="K256" s="20">
        <v>11</v>
      </c>
      <c r="L256" s="20">
        <v>11</v>
      </c>
      <c r="M256" s="20">
        <v>18</v>
      </c>
      <c r="N256" t="s">
        <v>71</v>
      </c>
      <c r="O256" t="s">
        <v>209</v>
      </c>
      <c r="P256" s="22">
        <v>49</v>
      </c>
      <c r="Q256" t="s">
        <v>342</v>
      </c>
      <c r="R256" t="s">
        <v>572</v>
      </c>
      <c r="S256" t="s">
        <v>63</v>
      </c>
      <c r="T256">
        <f t="shared" si="30"/>
        <v>7</v>
      </c>
      <c r="U256" s="5">
        <v>44804</v>
      </c>
      <c r="V256" s="7">
        <v>0.59236111111111112</v>
      </c>
      <c r="W256" s="5">
        <v>44818</v>
      </c>
      <c r="X256" s="7">
        <v>0.53541666666666665</v>
      </c>
      <c r="Y256" s="22">
        <f t="shared" si="25"/>
        <v>14</v>
      </c>
      <c r="Z256" t="s">
        <v>577</v>
      </c>
      <c r="AA256" t="s">
        <v>577</v>
      </c>
      <c r="AB256">
        <v>1</v>
      </c>
      <c r="AC256" t="s">
        <v>284</v>
      </c>
      <c r="AD256" t="s">
        <v>284</v>
      </c>
      <c r="AE256" t="s">
        <v>242</v>
      </c>
      <c r="AF256" t="s">
        <v>120</v>
      </c>
      <c r="AG256" s="20">
        <v>16</v>
      </c>
      <c r="AH256" s="20">
        <v>13</v>
      </c>
      <c r="AI256" s="20">
        <v>8</v>
      </c>
      <c r="AJ256" s="22">
        <v>10</v>
      </c>
      <c r="AK256" s="22">
        <v>0</v>
      </c>
      <c r="AL256" s="22">
        <v>0</v>
      </c>
      <c r="AM256" s="74">
        <f t="shared" si="31"/>
        <v>1</v>
      </c>
      <c r="AN256" s="22" t="s">
        <v>247</v>
      </c>
      <c r="AO256" s="58">
        <v>1</v>
      </c>
      <c r="AP256" t="s">
        <v>234</v>
      </c>
      <c r="AQ256" s="22" t="s">
        <v>668</v>
      </c>
      <c r="AR256" t="s">
        <v>117</v>
      </c>
      <c r="AS256" t="s">
        <v>284</v>
      </c>
      <c r="AV256" t="s">
        <v>141</v>
      </c>
      <c r="AW256" t="s">
        <v>595</v>
      </c>
      <c r="AX256" t="s">
        <v>182</v>
      </c>
      <c r="AY256" t="s">
        <v>182</v>
      </c>
      <c r="AZ256" t="s">
        <v>117</v>
      </c>
      <c r="BA256" t="s">
        <v>141</v>
      </c>
    </row>
    <row r="257" spans="1:54" x14ac:dyDescent="0.6">
      <c r="A257" s="14" t="str">
        <f t="shared" si="22"/>
        <v>Y</v>
      </c>
      <c r="B257" s="14" t="str">
        <f t="shared" si="23"/>
        <v>N</v>
      </c>
      <c r="C257" s="14" t="s">
        <v>141</v>
      </c>
      <c r="D257" t="s">
        <v>141</v>
      </c>
      <c r="E257" s="14" t="s">
        <v>141</v>
      </c>
      <c r="F257" t="str">
        <f t="shared" si="26"/>
        <v>Y_Y</v>
      </c>
      <c r="G257" s="22">
        <v>137</v>
      </c>
      <c r="H257" t="s">
        <v>559</v>
      </c>
      <c r="I257" s="5">
        <v>44797</v>
      </c>
      <c r="J257" s="7">
        <v>0.45833333333333331</v>
      </c>
      <c r="K257" s="20">
        <v>11</v>
      </c>
      <c r="L257" s="20">
        <v>11</v>
      </c>
      <c r="M257" s="20">
        <v>18</v>
      </c>
      <c r="N257" t="s">
        <v>71</v>
      </c>
      <c r="O257" t="s">
        <v>209</v>
      </c>
      <c r="P257" s="22">
        <v>49</v>
      </c>
      <c r="Q257" t="s">
        <v>342</v>
      </c>
      <c r="R257" t="s">
        <v>572</v>
      </c>
      <c r="S257" t="s">
        <v>63</v>
      </c>
      <c r="T257">
        <f t="shared" si="30"/>
        <v>7</v>
      </c>
      <c r="U257" s="5">
        <v>44804</v>
      </c>
      <c r="V257" s="7">
        <v>0.59236111111111112</v>
      </c>
      <c r="W257" s="5">
        <v>44818</v>
      </c>
      <c r="X257" s="7">
        <v>0.53541666666666665</v>
      </c>
      <c r="Y257" s="22">
        <f t="shared" si="25"/>
        <v>14</v>
      </c>
      <c r="Z257" t="s">
        <v>577</v>
      </c>
      <c r="AA257" t="s">
        <v>577</v>
      </c>
      <c r="AB257">
        <v>2</v>
      </c>
      <c r="AC257" t="s">
        <v>117</v>
      </c>
      <c r="AD257" t="s">
        <v>117</v>
      </c>
      <c r="AE257" t="s">
        <v>244</v>
      </c>
      <c r="AF257" t="s">
        <v>120</v>
      </c>
      <c r="AG257" s="20">
        <v>5.5</v>
      </c>
      <c r="AH257" s="20">
        <v>5.5</v>
      </c>
      <c r="AI257" s="20">
        <v>1</v>
      </c>
      <c r="AJ257" s="22">
        <v>50</v>
      </c>
      <c r="AK257" s="22">
        <v>0</v>
      </c>
      <c r="AL257" s="22">
        <v>0</v>
      </c>
      <c r="AM257" s="74">
        <f t="shared" si="31"/>
        <v>1</v>
      </c>
      <c r="AN257" s="22" t="s">
        <v>246</v>
      </c>
      <c r="AO257" s="58">
        <v>2</v>
      </c>
      <c r="AP257" t="s">
        <v>234</v>
      </c>
      <c r="AQ257" s="22" t="s">
        <v>668</v>
      </c>
      <c r="AR257" t="s">
        <v>117</v>
      </c>
      <c r="AS257" t="s">
        <v>284</v>
      </c>
      <c r="AV257" t="s">
        <v>141</v>
      </c>
      <c r="AW257" t="s">
        <v>596</v>
      </c>
      <c r="AX257" t="s">
        <v>182</v>
      </c>
      <c r="AY257" t="s">
        <v>182</v>
      </c>
      <c r="AZ257" t="s">
        <v>117</v>
      </c>
      <c r="BA257" t="s">
        <v>141</v>
      </c>
    </row>
    <row r="258" spans="1:54" x14ac:dyDescent="0.6">
      <c r="A258" s="14" t="str">
        <f t="shared" si="22"/>
        <v>Y</v>
      </c>
      <c r="B258" s="14" t="str">
        <f t="shared" si="23"/>
        <v>N</v>
      </c>
      <c r="C258" s="14" t="s">
        <v>141</v>
      </c>
      <c r="D258" t="s">
        <v>141</v>
      </c>
      <c r="E258" s="14" t="s">
        <v>141</v>
      </c>
      <c r="F258" t="str">
        <f t="shared" si="26"/>
        <v>Y_Y</v>
      </c>
      <c r="G258" s="22">
        <v>138</v>
      </c>
      <c r="H258" t="s">
        <v>500</v>
      </c>
      <c r="I258" s="5">
        <v>44797</v>
      </c>
      <c r="J258" s="7">
        <v>0.45833333333333331</v>
      </c>
      <c r="K258" s="20">
        <v>12</v>
      </c>
      <c r="L258" s="20">
        <v>12</v>
      </c>
      <c r="M258" s="20">
        <v>20</v>
      </c>
      <c r="N258" t="s">
        <v>71</v>
      </c>
      <c r="O258" t="s">
        <v>570</v>
      </c>
      <c r="P258" s="22">
        <v>45</v>
      </c>
      <c r="Q258" t="s">
        <v>562</v>
      </c>
      <c r="R258" t="s">
        <v>573</v>
      </c>
      <c r="S258" s="56" t="s">
        <v>573</v>
      </c>
      <c r="T258">
        <f t="shared" si="30"/>
        <v>7</v>
      </c>
      <c r="U258" s="5">
        <v>44804</v>
      </c>
      <c r="V258" s="7">
        <v>0.58888888888888891</v>
      </c>
      <c r="W258" s="5">
        <v>44818</v>
      </c>
      <c r="X258" s="7">
        <v>0.53680555555555554</v>
      </c>
      <c r="Y258" s="22">
        <f t="shared" si="25"/>
        <v>14</v>
      </c>
      <c r="Z258" t="s">
        <v>577</v>
      </c>
      <c r="AA258" t="s">
        <v>577</v>
      </c>
      <c r="AB258">
        <v>1</v>
      </c>
      <c r="AC258" t="s">
        <v>284</v>
      </c>
      <c r="AD258" t="s">
        <v>284</v>
      </c>
      <c r="AE258" t="s">
        <v>242</v>
      </c>
      <c r="AF258" t="s">
        <v>120</v>
      </c>
      <c r="AG258" s="20">
        <v>19</v>
      </c>
      <c r="AH258" s="20">
        <v>13</v>
      </c>
      <c r="AI258" s="20">
        <v>17</v>
      </c>
      <c r="AJ258" s="22">
        <v>15</v>
      </c>
      <c r="AK258" s="22">
        <v>0</v>
      </c>
      <c r="AL258" s="22">
        <v>0</v>
      </c>
      <c r="AM258" s="74">
        <f t="shared" si="31"/>
        <v>1</v>
      </c>
      <c r="AN258" s="22" t="s">
        <v>247</v>
      </c>
      <c r="AO258" s="58">
        <v>1</v>
      </c>
      <c r="AP258" t="s">
        <v>234</v>
      </c>
      <c r="AQ258" s="22" t="s">
        <v>668</v>
      </c>
      <c r="AR258" t="s">
        <v>117</v>
      </c>
      <c r="AS258" t="s">
        <v>284</v>
      </c>
      <c r="AV258" t="s">
        <v>141</v>
      </c>
      <c r="AW258" t="s">
        <v>448</v>
      </c>
      <c r="AX258" t="s">
        <v>597</v>
      </c>
      <c r="AY258" t="s">
        <v>599</v>
      </c>
      <c r="AZ258" t="s">
        <v>117</v>
      </c>
      <c r="BA258" t="s">
        <v>141</v>
      </c>
    </row>
    <row r="259" spans="1:54" x14ac:dyDescent="0.6">
      <c r="A259" s="14" t="str">
        <f t="shared" ref="A259:A323" si="32">IF(T259=7, "Y", "N")</f>
        <v>Y</v>
      </c>
      <c r="B259" s="14" t="str">
        <f t="shared" ref="B259:B322" si="33">IF(Y259=7, "Y", "N")</f>
        <v>N</v>
      </c>
      <c r="C259" s="14" t="s">
        <v>141</v>
      </c>
      <c r="D259" t="s">
        <v>141</v>
      </c>
      <c r="E259" s="14" t="s">
        <v>141</v>
      </c>
      <c r="F259" t="str">
        <f t="shared" si="26"/>
        <v>Y_Y</v>
      </c>
      <c r="G259" s="22">
        <v>138</v>
      </c>
      <c r="H259" t="s">
        <v>500</v>
      </c>
      <c r="I259" s="5">
        <v>44797</v>
      </c>
      <c r="J259" s="7">
        <v>0.45833333333333331</v>
      </c>
      <c r="K259" s="20">
        <v>12</v>
      </c>
      <c r="L259" s="20">
        <v>12</v>
      </c>
      <c r="M259" s="20">
        <v>20</v>
      </c>
      <c r="N259" t="s">
        <v>71</v>
      </c>
      <c r="O259" t="s">
        <v>570</v>
      </c>
      <c r="P259" s="22">
        <v>45</v>
      </c>
      <c r="Q259" t="s">
        <v>562</v>
      </c>
      <c r="R259" t="s">
        <v>573</v>
      </c>
      <c r="S259" s="56" t="s">
        <v>573</v>
      </c>
      <c r="T259">
        <f t="shared" si="30"/>
        <v>7</v>
      </c>
      <c r="U259" s="5">
        <v>44804</v>
      </c>
      <c r="V259" s="7">
        <v>0.58888888888888891</v>
      </c>
      <c r="W259" s="5">
        <v>44818</v>
      </c>
      <c r="X259" s="7">
        <v>0.53680555555555554</v>
      </c>
      <c r="Y259" s="22">
        <f t="shared" ref="Y259:Y322" si="34">DATEDIF(U259,W259,"d")</f>
        <v>14</v>
      </c>
      <c r="Z259" t="s">
        <v>577</v>
      </c>
      <c r="AA259" t="s">
        <v>577</v>
      </c>
      <c r="AB259">
        <v>2</v>
      </c>
      <c r="AC259" t="s">
        <v>117</v>
      </c>
      <c r="AD259" t="s">
        <v>117</v>
      </c>
      <c r="AE259" t="s">
        <v>244</v>
      </c>
      <c r="AF259" t="s">
        <v>120</v>
      </c>
      <c r="AG259" s="20">
        <v>7.5</v>
      </c>
      <c r="AH259" s="20">
        <v>6</v>
      </c>
      <c r="AI259" s="20">
        <v>5</v>
      </c>
      <c r="AJ259" s="22">
        <v>55</v>
      </c>
      <c r="AK259" s="22">
        <v>0</v>
      </c>
      <c r="AL259" s="22">
        <v>0</v>
      </c>
      <c r="AM259" s="74">
        <f t="shared" si="31"/>
        <v>1</v>
      </c>
      <c r="AN259" s="22" t="s">
        <v>246</v>
      </c>
      <c r="AO259" s="58">
        <v>2</v>
      </c>
      <c r="AP259" t="s">
        <v>234</v>
      </c>
      <c r="AQ259" s="22" t="s">
        <v>668</v>
      </c>
      <c r="AR259" t="s">
        <v>117</v>
      </c>
      <c r="AS259" t="s">
        <v>284</v>
      </c>
      <c r="AV259" t="s">
        <v>141</v>
      </c>
      <c r="AW259" t="s">
        <v>448</v>
      </c>
      <c r="AX259" t="s">
        <v>598</v>
      </c>
      <c r="AY259" t="s">
        <v>600</v>
      </c>
      <c r="AZ259" t="s">
        <v>117</v>
      </c>
      <c r="BA259" t="s">
        <v>141</v>
      </c>
    </row>
    <row r="260" spans="1:54" x14ac:dyDescent="0.6">
      <c r="A260" s="14" t="str">
        <f t="shared" si="32"/>
        <v>N</v>
      </c>
      <c r="B260" s="14" t="str">
        <f t="shared" si="33"/>
        <v>N</v>
      </c>
      <c r="C260" s="14" t="s">
        <v>141</v>
      </c>
      <c r="D260" t="s">
        <v>63</v>
      </c>
      <c r="E260" s="14" t="s">
        <v>141</v>
      </c>
      <c r="F260" t="str">
        <f t="shared" si="26"/>
        <v>N_Y</v>
      </c>
      <c r="G260" s="22">
        <v>139</v>
      </c>
      <c r="H260" t="s">
        <v>499</v>
      </c>
      <c r="I260" s="5">
        <v>44790</v>
      </c>
      <c r="J260" s="7">
        <v>0.59375</v>
      </c>
      <c r="K260" s="20">
        <v>9.5</v>
      </c>
      <c r="L260" s="20">
        <v>9.5</v>
      </c>
      <c r="M260" s="20">
        <v>14</v>
      </c>
      <c r="N260" t="s">
        <v>71</v>
      </c>
      <c r="O260" t="s">
        <v>136</v>
      </c>
      <c r="P260" s="22">
        <v>39</v>
      </c>
      <c r="Q260" t="s">
        <v>42</v>
      </c>
      <c r="R260" t="s">
        <v>574</v>
      </c>
      <c r="S260" t="s">
        <v>63</v>
      </c>
      <c r="T260">
        <f t="shared" si="30"/>
        <v>14</v>
      </c>
      <c r="U260" s="5">
        <v>44804</v>
      </c>
      <c r="V260" s="7">
        <v>0.5854166666666667</v>
      </c>
      <c r="W260" s="5">
        <v>44818</v>
      </c>
      <c r="X260" s="7">
        <v>0.53819444444444442</v>
      </c>
      <c r="Y260" s="22">
        <f t="shared" si="34"/>
        <v>14</v>
      </c>
      <c r="Z260" t="s">
        <v>405</v>
      </c>
      <c r="AA260" t="s">
        <v>405</v>
      </c>
      <c r="AB260">
        <v>1</v>
      </c>
      <c r="AC260" t="s">
        <v>119</v>
      </c>
      <c r="AD260" t="s">
        <v>119</v>
      </c>
      <c r="AE260" t="s">
        <v>242</v>
      </c>
      <c r="AF260" t="s">
        <v>120</v>
      </c>
      <c r="AG260" s="20">
        <v>15</v>
      </c>
      <c r="AH260" s="20">
        <v>11</v>
      </c>
      <c r="AI260" s="20">
        <v>8</v>
      </c>
      <c r="AJ260" s="22">
        <v>35</v>
      </c>
      <c r="AK260" s="22">
        <v>0</v>
      </c>
      <c r="AL260" s="22">
        <v>35</v>
      </c>
      <c r="AM260" s="74">
        <f t="shared" si="31"/>
        <v>0</v>
      </c>
      <c r="AN260" s="22" t="s">
        <v>245</v>
      </c>
      <c r="AO260" s="58">
        <v>0</v>
      </c>
      <c r="AP260" t="s">
        <v>233</v>
      </c>
      <c r="AQ260" s="22" t="s">
        <v>667</v>
      </c>
      <c r="AR260" t="s">
        <v>98</v>
      </c>
      <c r="AT260" t="s">
        <v>119</v>
      </c>
      <c r="AV260" t="s">
        <v>325</v>
      </c>
      <c r="AW260" t="s">
        <v>182</v>
      </c>
      <c r="AX260" t="s">
        <v>182</v>
      </c>
      <c r="AY260" t="s">
        <v>182</v>
      </c>
      <c r="AZ260" t="s">
        <v>458</v>
      </c>
      <c r="BA260" t="s">
        <v>458</v>
      </c>
    </row>
    <row r="261" spans="1:54" x14ac:dyDescent="0.6">
      <c r="A261" s="14" t="str">
        <f t="shared" si="32"/>
        <v>N</v>
      </c>
      <c r="B261" s="14" t="str">
        <f t="shared" si="33"/>
        <v>N</v>
      </c>
      <c r="C261" s="14" t="s">
        <v>141</v>
      </c>
      <c r="D261" t="s">
        <v>63</v>
      </c>
      <c r="E261" s="14" t="s">
        <v>141</v>
      </c>
      <c r="F261" t="str">
        <f t="shared" si="26"/>
        <v>N_Y</v>
      </c>
      <c r="G261" s="22">
        <v>139</v>
      </c>
      <c r="H261" t="s">
        <v>499</v>
      </c>
      <c r="I261" s="5">
        <v>44790</v>
      </c>
      <c r="J261" s="7">
        <v>0.59375</v>
      </c>
      <c r="K261" s="20">
        <v>9.5</v>
      </c>
      <c r="L261" s="20">
        <v>9.5</v>
      </c>
      <c r="M261" s="20">
        <v>14</v>
      </c>
      <c r="N261" t="s">
        <v>71</v>
      </c>
      <c r="O261" t="s">
        <v>136</v>
      </c>
      <c r="P261" s="22">
        <v>39</v>
      </c>
      <c r="Q261" t="s">
        <v>42</v>
      </c>
      <c r="R261" t="s">
        <v>574</v>
      </c>
      <c r="S261" t="s">
        <v>63</v>
      </c>
      <c r="T261">
        <f t="shared" si="30"/>
        <v>14</v>
      </c>
      <c r="U261" s="5">
        <v>44804</v>
      </c>
      <c r="V261" s="7">
        <v>0.5854166666666667</v>
      </c>
      <c r="W261" s="5">
        <v>44818</v>
      </c>
      <c r="X261" s="7">
        <v>0.53819444444444442</v>
      </c>
      <c r="Y261" s="22">
        <f t="shared" si="34"/>
        <v>14</v>
      </c>
      <c r="Z261" t="s">
        <v>405</v>
      </c>
      <c r="AA261" t="s">
        <v>405</v>
      </c>
      <c r="AB261">
        <v>2</v>
      </c>
      <c r="AC261" t="s">
        <v>98</v>
      </c>
      <c r="AD261" t="s">
        <v>98</v>
      </c>
      <c r="AE261" t="s">
        <v>244</v>
      </c>
      <c r="AF261" t="s">
        <v>97</v>
      </c>
      <c r="AG261" s="20">
        <v>11.5</v>
      </c>
      <c r="AH261" s="20">
        <v>5</v>
      </c>
      <c r="AI261" s="20">
        <v>2</v>
      </c>
      <c r="AJ261" s="22">
        <v>100</v>
      </c>
      <c r="AK261" s="22">
        <v>0</v>
      </c>
      <c r="AL261" s="22">
        <v>0</v>
      </c>
      <c r="AM261" s="74">
        <f t="shared" si="31"/>
        <v>1</v>
      </c>
      <c r="AN261" s="22" t="s">
        <v>246</v>
      </c>
      <c r="AO261" s="58">
        <v>2</v>
      </c>
      <c r="AP261" t="s">
        <v>234</v>
      </c>
      <c r="AQ261" s="22" t="s">
        <v>667</v>
      </c>
      <c r="AR261" t="s">
        <v>98</v>
      </c>
      <c r="AT261" t="s">
        <v>119</v>
      </c>
      <c r="AV261" t="s">
        <v>325</v>
      </c>
      <c r="AW261" t="s">
        <v>448</v>
      </c>
      <c r="AX261" t="s">
        <v>601</v>
      </c>
      <c r="AY261" t="s">
        <v>602</v>
      </c>
      <c r="AZ261" t="s">
        <v>458</v>
      </c>
      <c r="BA261" t="s">
        <v>458</v>
      </c>
      <c r="BB261" s="20" t="s">
        <v>603</v>
      </c>
    </row>
    <row r="262" spans="1:54" x14ac:dyDescent="0.6">
      <c r="A262" s="14" t="str">
        <f t="shared" si="32"/>
        <v>Y</v>
      </c>
      <c r="B262" s="14" t="str">
        <f t="shared" si="33"/>
        <v>N</v>
      </c>
      <c r="C262" s="14" t="s">
        <v>141</v>
      </c>
      <c r="D262" t="s">
        <v>63</v>
      </c>
      <c r="E262" s="14" t="s">
        <v>141</v>
      </c>
      <c r="F262" t="str">
        <f t="shared" si="26"/>
        <v>N_Y</v>
      </c>
      <c r="G262" s="22">
        <v>140</v>
      </c>
      <c r="H262" t="s">
        <v>560</v>
      </c>
      <c r="I262" s="5">
        <v>44797</v>
      </c>
      <c r="J262" s="7">
        <v>0.45833333333333331</v>
      </c>
      <c r="K262" s="20">
        <v>12</v>
      </c>
      <c r="L262" s="20">
        <v>12</v>
      </c>
      <c r="M262" s="20">
        <v>20</v>
      </c>
      <c r="N262" t="s">
        <v>71</v>
      </c>
      <c r="O262" t="s">
        <v>569</v>
      </c>
      <c r="P262" s="22">
        <v>55</v>
      </c>
      <c r="Q262" t="s">
        <v>562</v>
      </c>
      <c r="R262" t="s">
        <v>575</v>
      </c>
      <c r="S262" t="s">
        <v>63</v>
      </c>
      <c r="T262">
        <f t="shared" si="30"/>
        <v>7</v>
      </c>
      <c r="U262" s="5">
        <v>44804</v>
      </c>
      <c r="V262" s="7">
        <v>0.58124999999999993</v>
      </c>
      <c r="W262" s="5">
        <v>44818</v>
      </c>
      <c r="X262" s="7">
        <v>0.5395833333333333</v>
      </c>
      <c r="Y262" s="22">
        <f t="shared" si="34"/>
        <v>14</v>
      </c>
      <c r="Z262" t="s">
        <v>577</v>
      </c>
      <c r="AA262" t="s">
        <v>577</v>
      </c>
      <c r="AB262">
        <v>1</v>
      </c>
      <c r="AC262" t="s">
        <v>284</v>
      </c>
      <c r="AD262" t="s">
        <v>284</v>
      </c>
      <c r="AE262" t="s">
        <v>242</v>
      </c>
      <c r="AF262" t="s">
        <v>120</v>
      </c>
      <c r="AG262" s="20">
        <v>13</v>
      </c>
      <c r="AH262" s="20">
        <v>9</v>
      </c>
      <c r="AI262" s="20">
        <v>4</v>
      </c>
      <c r="AJ262" s="22">
        <v>45</v>
      </c>
      <c r="AK262" s="22">
        <v>0</v>
      </c>
      <c r="AL262" s="22">
        <v>45</v>
      </c>
      <c r="AM262" s="74">
        <f t="shared" si="31"/>
        <v>0</v>
      </c>
      <c r="AN262" s="22" t="s">
        <v>245</v>
      </c>
      <c r="AO262" s="58">
        <v>0</v>
      </c>
      <c r="AP262" t="s">
        <v>233</v>
      </c>
      <c r="AQ262" s="22" t="s">
        <v>669</v>
      </c>
      <c r="AT262" t="s">
        <v>284</v>
      </c>
      <c r="AU262" t="s">
        <v>117</v>
      </c>
      <c r="AV262" t="s">
        <v>324</v>
      </c>
      <c r="AW262" t="s">
        <v>182</v>
      </c>
      <c r="AX262" t="s">
        <v>182</v>
      </c>
      <c r="AY262" t="s">
        <v>182</v>
      </c>
      <c r="AZ262" t="s">
        <v>182</v>
      </c>
      <c r="BA262" t="s">
        <v>182</v>
      </c>
    </row>
    <row r="263" spans="1:54" x14ac:dyDescent="0.6">
      <c r="A263" s="14" t="str">
        <f t="shared" si="32"/>
        <v>Y</v>
      </c>
      <c r="B263" s="14" t="str">
        <f t="shared" si="33"/>
        <v>N</v>
      </c>
      <c r="C263" s="14" t="s">
        <v>141</v>
      </c>
      <c r="D263" t="s">
        <v>63</v>
      </c>
      <c r="E263" s="14" t="s">
        <v>141</v>
      </c>
      <c r="F263" t="str">
        <f t="shared" si="26"/>
        <v>N_Y</v>
      </c>
      <c r="G263" s="22">
        <v>140</v>
      </c>
      <c r="H263" t="s">
        <v>560</v>
      </c>
      <c r="I263" s="5">
        <v>44797</v>
      </c>
      <c r="J263" s="7">
        <v>0.45833333333333331</v>
      </c>
      <c r="K263" s="20">
        <v>12</v>
      </c>
      <c r="L263" s="20">
        <v>12</v>
      </c>
      <c r="M263" s="20">
        <v>20</v>
      </c>
      <c r="N263" t="s">
        <v>71</v>
      </c>
      <c r="O263" t="s">
        <v>569</v>
      </c>
      <c r="P263" s="22">
        <v>55</v>
      </c>
      <c r="Q263" t="s">
        <v>562</v>
      </c>
      <c r="R263" t="s">
        <v>575</v>
      </c>
      <c r="S263" t="s">
        <v>63</v>
      </c>
      <c r="T263">
        <f t="shared" si="30"/>
        <v>7</v>
      </c>
      <c r="U263" s="5">
        <v>44804</v>
      </c>
      <c r="V263" s="7">
        <v>0.58124999999999993</v>
      </c>
      <c r="W263" s="5">
        <v>44818</v>
      </c>
      <c r="X263" s="7">
        <v>0.5395833333333333</v>
      </c>
      <c r="Y263" s="22">
        <f t="shared" si="34"/>
        <v>14</v>
      </c>
      <c r="Z263" t="s">
        <v>577</v>
      </c>
      <c r="AA263" t="s">
        <v>577</v>
      </c>
      <c r="AB263">
        <v>2</v>
      </c>
      <c r="AC263" t="s">
        <v>117</v>
      </c>
      <c r="AD263" t="s">
        <v>117</v>
      </c>
      <c r="AE263" t="s">
        <v>244</v>
      </c>
      <c r="AF263" t="s">
        <v>120</v>
      </c>
      <c r="AG263" s="20">
        <v>14</v>
      </c>
      <c r="AH263" s="20">
        <v>9</v>
      </c>
      <c r="AI263" s="20">
        <v>10</v>
      </c>
      <c r="AJ263" s="22">
        <v>30</v>
      </c>
      <c r="AK263" s="22">
        <v>0</v>
      </c>
      <c r="AL263" s="22">
        <v>30</v>
      </c>
      <c r="AM263" s="74">
        <f t="shared" si="31"/>
        <v>0</v>
      </c>
      <c r="AN263" s="22" t="s">
        <v>245</v>
      </c>
      <c r="AO263" s="58">
        <v>0</v>
      </c>
      <c r="AP263" t="s">
        <v>233</v>
      </c>
      <c r="AQ263" s="22" t="s">
        <v>669</v>
      </c>
      <c r="AT263" t="s">
        <v>284</v>
      </c>
      <c r="AU263" t="s">
        <v>117</v>
      </c>
      <c r="AV263" t="s">
        <v>324</v>
      </c>
      <c r="AW263" t="s">
        <v>182</v>
      </c>
      <c r="AX263" t="s">
        <v>182</v>
      </c>
      <c r="AY263" t="s">
        <v>182</v>
      </c>
      <c r="AZ263" t="s">
        <v>182</v>
      </c>
      <c r="BA263" t="s">
        <v>182</v>
      </c>
    </row>
    <row r="264" spans="1:54" x14ac:dyDescent="0.6">
      <c r="A264" s="14" t="str">
        <f t="shared" si="32"/>
        <v>Y</v>
      </c>
      <c r="B264" s="14" t="str">
        <f t="shared" si="33"/>
        <v>N</v>
      </c>
      <c r="C264" s="14" t="s">
        <v>141</v>
      </c>
      <c r="D264" t="s">
        <v>63</v>
      </c>
      <c r="E264" t="s">
        <v>63</v>
      </c>
      <c r="F264" t="str">
        <f t="shared" si="26"/>
        <v>N_N</v>
      </c>
      <c r="G264" s="22">
        <v>141</v>
      </c>
      <c r="H264" t="s">
        <v>560</v>
      </c>
      <c r="I264" s="5">
        <v>44818</v>
      </c>
      <c r="J264" s="7">
        <v>0.57291666666666663</v>
      </c>
      <c r="K264" s="20">
        <v>12</v>
      </c>
      <c r="L264" s="20">
        <v>12</v>
      </c>
      <c r="M264" s="20">
        <v>19</v>
      </c>
      <c r="N264" t="s">
        <v>71</v>
      </c>
      <c r="O264" t="s">
        <v>210</v>
      </c>
      <c r="P264" s="22">
        <v>38</v>
      </c>
      <c r="Q264" t="s">
        <v>534</v>
      </c>
      <c r="R264" t="s">
        <v>535</v>
      </c>
      <c r="S264" s="56" t="s">
        <v>535</v>
      </c>
      <c r="T264">
        <f t="shared" si="30"/>
        <v>7</v>
      </c>
      <c r="U264" s="5">
        <v>44825</v>
      </c>
      <c r="V264" s="7">
        <v>0.52083333333333337</v>
      </c>
      <c r="W264" s="5">
        <v>44834</v>
      </c>
      <c r="X264" s="7">
        <v>0.45763888888888887</v>
      </c>
      <c r="Y264" s="22">
        <f t="shared" si="34"/>
        <v>9</v>
      </c>
      <c r="Z264" t="s">
        <v>577</v>
      </c>
      <c r="AA264" t="s">
        <v>577</v>
      </c>
      <c r="AB264">
        <v>1</v>
      </c>
      <c r="AC264" t="s">
        <v>117</v>
      </c>
      <c r="AD264" t="s">
        <v>117</v>
      </c>
      <c r="AE264" t="s">
        <v>242</v>
      </c>
      <c r="AF264" t="s">
        <v>120</v>
      </c>
      <c r="AG264" s="20">
        <v>16</v>
      </c>
      <c r="AH264" s="20">
        <v>12</v>
      </c>
      <c r="AI264" s="20">
        <v>9</v>
      </c>
      <c r="AJ264" s="22">
        <v>15</v>
      </c>
      <c r="AK264" s="22">
        <v>0</v>
      </c>
      <c r="AL264" s="22">
        <v>0</v>
      </c>
      <c r="AM264" s="74">
        <f t="shared" si="31"/>
        <v>1</v>
      </c>
      <c r="AN264" s="22" t="s">
        <v>226</v>
      </c>
      <c r="AO264" s="58">
        <v>0.5</v>
      </c>
      <c r="AP264" t="s">
        <v>234</v>
      </c>
      <c r="AQ264" s="22" t="s">
        <v>668</v>
      </c>
      <c r="AR264" t="s">
        <v>159</v>
      </c>
      <c r="AV264" t="s">
        <v>226</v>
      </c>
      <c r="AW264" s="51" t="s">
        <v>182</v>
      </c>
      <c r="AX264" s="51" t="s">
        <v>182</v>
      </c>
      <c r="AY264" s="51" t="s">
        <v>182</v>
      </c>
      <c r="AZ264" t="s">
        <v>458</v>
      </c>
      <c r="BA264" t="s">
        <v>458</v>
      </c>
    </row>
    <row r="265" spans="1:54" x14ac:dyDescent="0.6">
      <c r="A265" s="14" t="str">
        <f t="shared" si="32"/>
        <v>Y</v>
      </c>
      <c r="B265" s="14" t="str">
        <f t="shared" si="33"/>
        <v>N</v>
      </c>
      <c r="C265" s="14" t="s">
        <v>141</v>
      </c>
      <c r="D265" t="s">
        <v>63</v>
      </c>
      <c r="E265" t="s">
        <v>141</v>
      </c>
      <c r="F265" t="str">
        <f t="shared" si="26"/>
        <v>N_Y</v>
      </c>
      <c r="G265" s="22">
        <v>141</v>
      </c>
      <c r="H265" t="s">
        <v>560</v>
      </c>
      <c r="I265" s="5">
        <v>44818</v>
      </c>
      <c r="J265" s="7">
        <v>0.57291666666666663</v>
      </c>
      <c r="K265" s="20">
        <v>12</v>
      </c>
      <c r="L265" s="20">
        <v>12</v>
      </c>
      <c r="M265" s="20">
        <v>19</v>
      </c>
      <c r="N265" t="s">
        <v>71</v>
      </c>
      <c r="O265" t="s">
        <v>210</v>
      </c>
      <c r="P265" s="22">
        <v>38</v>
      </c>
      <c r="Q265" t="s">
        <v>534</v>
      </c>
      <c r="R265" t="s">
        <v>535</v>
      </c>
      <c r="S265" s="56" t="s">
        <v>535</v>
      </c>
      <c r="T265">
        <f t="shared" si="30"/>
        <v>7</v>
      </c>
      <c r="U265" s="5">
        <v>44825</v>
      </c>
      <c r="V265" s="7">
        <v>0.52083333333333337</v>
      </c>
      <c r="W265" s="5">
        <v>44834</v>
      </c>
      <c r="X265" s="7">
        <v>0.45763888888888887</v>
      </c>
      <c r="Y265" s="22">
        <f t="shared" si="34"/>
        <v>9</v>
      </c>
      <c r="Z265" t="s">
        <v>577</v>
      </c>
      <c r="AA265" t="s">
        <v>577</v>
      </c>
      <c r="AB265">
        <v>2</v>
      </c>
      <c r="AC265" t="s">
        <v>284</v>
      </c>
      <c r="AD265" t="s">
        <v>284</v>
      </c>
      <c r="AE265" t="s">
        <v>244</v>
      </c>
      <c r="AF265" t="s">
        <v>120</v>
      </c>
      <c r="AG265" s="20">
        <v>13</v>
      </c>
      <c r="AH265" s="20">
        <v>10</v>
      </c>
      <c r="AI265" s="20">
        <v>5</v>
      </c>
      <c r="AJ265" s="22">
        <v>30</v>
      </c>
      <c r="AK265" s="22">
        <v>0</v>
      </c>
      <c r="AL265" s="22">
        <v>5</v>
      </c>
      <c r="AM265" s="74">
        <f t="shared" si="31"/>
        <v>0.83333333333333337</v>
      </c>
      <c r="AN265" s="22" t="s">
        <v>226</v>
      </c>
      <c r="AO265" s="58">
        <v>0.5</v>
      </c>
      <c r="AP265" t="s">
        <v>234</v>
      </c>
      <c r="AQ265" s="22" t="s">
        <v>668</v>
      </c>
      <c r="AR265" t="s">
        <v>159</v>
      </c>
      <c r="AV265" t="s">
        <v>226</v>
      </c>
      <c r="AW265" s="51" t="s">
        <v>619</v>
      </c>
      <c r="AX265" s="51" t="s">
        <v>182</v>
      </c>
      <c r="AY265" s="51" t="s">
        <v>182</v>
      </c>
      <c r="AZ265" t="s">
        <v>458</v>
      </c>
      <c r="BA265" t="s">
        <v>458</v>
      </c>
    </row>
    <row r="266" spans="1:54" x14ac:dyDescent="0.6">
      <c r="A266" s="14" t="str">
        <f t="shared" si="32"/>
        <v>Y</v>
      </c>
      <c r="B266" s="14" t="str">
        <f t="shared" si="33"/>
        <v>N</v>
      </c>
      <c r="C266" s="14" t="s">
        <v>141</v>
      </c>
      <c r="D266" t="s">
        <v>63</v>
      </c>
      <c r="E266" t="s">
        <v>141</v>
      </c>
      <c r="F266" t="str">
        <f>D266&amp;"_"&amp;E266</f>
        <v>N_Y</v>
      </c>
      <c r="G266" s="22">
        <v>142</v>
      </c>
      <c r="H266" t="s">
        <v>499</v>
      </c>
      <c r="I266" s="5">
        <v>44818</v>
      </c>
      <c r="J266" s="7">
        <v>0.57291666666666663</v>
      </c>
      <c r="K266" s="20">
        <v>12</v>
      </c>
      <c r="L266" s="20">
        <v>11.5</v>
      </c>
      <c r="M266" s="20">
        <v>17</v>
      </c>
      <c r="N266" t="s">
        <v>88</v>
      </c>
      <c r="O266" t="s">
        <v>154</v>
      </c>
      <c r="P266" s="22">
        <v>30</v>
      </c>
      <c r="Q266" t="s">
        <v>604</v>
      </c>
      <c r="R266" t="s">
        <v>80</v>
      </c>
      <c r="S266" s="56" t="s">
        <v>80</v>
      </c>
      <c r="T266">
        <f t="shared" si="30"/>
        <v>7</v>
      </c>
      <c r="U266" s="5">
        <v>44825</v>
      </c>
      <c r="V266" s="7">
        <v>0.52777777777777779</v>
      </c>
      <c r="W266" s="5">
        <v>44834</v>
      </c>
      <c r="X266" s="7">
        <v>0.4597222222222222</v>
      </c>
      <c r="Y266" s="22">
        <f t="shared" si="34"/>
        <v>9</v>
      </c>
      <c r="Z266" t="s">
        <v>577</v>
      </c>
      <c r="AA266" t="s">
        <v>577</v>
      </c>
      <c r="AB266">
        <v>1</v>
      </c>
      <c r="AC266" t="s">
        <v>117</v>
      </c>
      <c r="AD266" t="s">
        <v>117</v>
      </c>
      <c r="AE266" t="s">
        <v>242</v>
      </c>
      <c r="AF266" t="s">
        <v>120</v>
      </c>
      <c r="AG266" s="20">
        <v>16</v>
      </c>
      <c r="AH266" s="20">
        <v>12</v>
      </c>
      <c r="AI266" s="20">
        <v>8</v>
      </c>
      <c r="AJ266" s="22">
        <v>70</v>
      </c>
      <c r="AK266" s="22">
        <v>0</v>
      </c>
      <c r="AL266" s="22">
        <v>25</v>
      </c>
      <c r="AM266" s="74">
        <f t="shared" si="31"/>
        <v>0.6428571428571429</v>
      </c>
      <c r="AN266" s="22" t="s">
        <v>247</v>
      </c>
      <c r="AO266" s="58">
        <v>1</v>
      </c>
      <c r="AP266" t="s">
        <v>234</v>
      </c>
      <c r="AQ266" s="22" t="s">
        <v>668</v>
      </c>
      <c r="AR266" t="s">
        <v>284</v>
      </c>
      <c r="AS266" t="s">
        <v>117</v>
      </c>
      <c r="AV266" t="s">
        <v>141</v>
      </c>
      <c r="AW266" t="s">
        <v>617</v>
      </c>
      <c r="AX266" t="s">
        <v>182</v>
      </c>
      <c r="AY266" t="s">
        <v>182</v>
      </c>
      <c r="AZ266" t="s">
        <v>458</v>
      </c>
      <c r="BA266" t="s">
        <v>458</v>
      </c>
    </row>
    <row r="267" spans="1:54" x14ac:dyDescent="0.6">
      <c r="A267" s="14" t="str">
        <f t="shared" si="32"/>
        <v>Y</v>
      </c>
      <c r="B267" s="14" t="str">
        <f t="shared" si="33"/>
        <v>N</v>
      </c>
      <c r="C267" s="14" t="s">
        <v>141</v>
      </c>
      <c r="D267" t="s">
        <v>63</v>
      </c>
      <c r="E267" t="s">
        <v>141</v>
      </c>
      <c r="F267" t="str">
        <f t="shared" ref="F267:F323" si="35">D267&amp;"_"&amp;E267</f>
        <v>N_Y</v>
      </c>
      <c r="G267" s="22">
        <v>142</v>
      </c>
      <c r="H267" t="s">
        <v>499</v>
      </c>
      <c r="I267" s="5">
        <v>44818</v>
      </c>
      <c r="J267" s="7">
        <v>0.57291666666666663</v>
      </c>
      <c r="K267" s="20">
        <v>12</v>
      </c>
      <c r="L267" s="20">
        <v>11.5</v>
      </c>
      <c r="M267" s="20">
        <v>17</v>
      </c>
      <c r="N267" t="s">
        <v>88</v>
      </c>
      <c r="O267" t="s">
        <v>154</v>
      </c>
      <c r="P267" s="22">
        <v>30</v>
      </c>
      <c r="Q267" t="s">
        <v>604</v>
      </c>
      <c r="R267" t="s">
        <v>80</v>
      </c>
      <c r="S267" s="56" t="s">
        <v>80</v>
      </c>
      <c r="T267">
        <f t="shared" si="30"/>
        <v>7</v>
      </c>
      <c r="U267" s="5">
        <v>44825</v>
      </c>
      <c r="V267" s="7">
        <v>0.52777777777777779</v>
      </c>
      <c r="W267" s="5">
        <v>44834</v>
      </c>
      <c r="X267" s="7">
        <v>0.4597222222222222</v>
      </c>
      <c r="Y267" s="22">
        <f t="shared" si="34"/>
        <v>9</v>
      </c>
      <c r="Z267" t="s">
        <v>577</v>
      </c>
      <c r="AA267" t="s">
        <v>577</v>
      </c>
      <c r="AB267">
        <v>2</v>
      </c>
      <c r="AC267" t="s">
        <v>284</v>
      </c>
      <c r="AD267" t="s">
        <v>284</v>
      </c>
      <c r="AE267" t="s">
        <v>244</v>
      </c>
      <c r="AF267" t="s">
        <v>120</v>
      </c>
      <c r="AG267" s="20">
        <v>9</v>
      </c>
      <c r="AH267" s="20">
        <v>5</v>
      </c>
      <c r="AI267" s="20">
        <v>4</v>
      </c>
      <c r="AJ267" s="22">
        <v>80</v>
      </c>
      <c r="AK267" s="22">
        <v>0</v>
      </c>
      <c r="AL267" s="22">
        <v>0</v>
      </c>
      <c r="AM267" s="74">
        <f t="shared" si="31"/>
        <v>1</v>
      </c>
      <c r="AN267" s="22" t="s">
        <v>246</v>
      </c>
      <c r="AO267" s="58">
        <v>2</v>
      </c>
      <c r="AP267" t="s">
        <v>234</v>
      </c>
      <c r="AQ267" s="22" t="s">
        <v>668</v>
      </c>
      <c r="AR267" t="s">
        <v>284</v>
      </c>
      <c r="AS267" t="s">
        <v>117</v>
      </c>
      <c r="AV267" t="s">
        <v>141</v>
      </c>
      <c r="AW267" t="s">
        <v>448</v>
      </c>
      <c r="AX267" t="s">
        <v>579</v>
      </c>
      <c r="AY267" t="s">
        <v>618</v>
      </c>
      <c r="AZ267" t="s">
        <v>458</v>
      </c>
      <c r="BA267" t="s">
        <v>458</v>
      </c>
    </row>
    <row r="268" spans="1:54" x14ac:dyDescent="0.6">
      <c r="A268" s="14" t="str">
        <f t="shared" si="32"/>
        <v>Y</v>
      </c>
      <c r="B268" s="14" t="str">
        <f t="shared" si="33"/>
        <v>N</v>
      </c>
      <c r="C268" s="14" t="s">
        <v>141</v>
      </c>
      <c r="D268" t="s">
        <v>63</v>
      </c>
      <c r="E268" t="s">
        <v>141</v>
      </c>
      <c r="F268" t="str">
        <f t="shared" si="35"/>
        <v>N_Y</v>
      </c>
      <c r="G268" s="22">
        <v>143</v>
      </c>
      <c r="H268" t="s">
        <v>500</v>
      </c>
      <c r="I268" s="5">
        <v>44818</v>
      </c>
      <c r="J268" s="7">
        <v>0.57291666666666663</v>
      </c>
      <c r="K268" s="20">
        <v>10.5</v>
      </c>
      <c r="L268" s="20">
        <v>11</v>
      </c>
      <c r="M268" s="20">
        <v>14</v>
      </c>
      <c r="N268" t="s">
        <v>88</v>
      </c>
      <c r="O268" t="s">
        <v>154</v>
      </c>
      <c r="P268" s="22">
        <v>32</v>
      </c>
      <c r="Q268" t="s">
        <v>56</v>
      </c>
      <c r="R268" t="s">
        <v>605</v>
      </c>
      <c r="S268" t="s">
        <v>63</v>
      </c>
      <c r="T268">
        <f t="shared" si="30"/>
        <v>7</v>
      </c>
      <c r="U268" s="5">
        <v>44825</v>
      </c>
      <c r="V268" s="7">
        <v>0.53472222222222221</v>
      </c>
      <c r="W268" s="5">
        <v>44834</v>
      </c>
      <c r="X268" s="7">
        <v>0.46180555555555558</v>
      </c>
      <c r="Y268" s="22">
        <f t="shared" si="34"/>
        <v>9</v>
      </c>
      <c r="Z268" t="s">
        <v>509</v>
      </c>
      <c r="AA268" t="s">
        <v>509</v>
      </c>
      <c r="AB268">
        <v>1</v>
      </c>
      <c r="AC268" t="s">
        <v>98</v>
      </c>
      <c r="AD268" t="s">
        <v>98</v>
      </c>
      <c r="AE268" t="s">
        <v>242</v>
      </c>
      <c r="AF268" t="s">
        <v>97</v>
      </c>
      <c r="AG268" s="20">
        <v>8.5</v>
      </c>
      <c r="AH268" s="20">
        <v>6</v>
      </c>
      <c r="AI268" s="20">
        <v>2</v>
      </c>
      <c r="AJ268" s="22">
        <v>100</v>
      </c>
      <c r="AK268" s="22">
        <v>0</v>
      </c>
      <c r="AL268" s="22">
        <v>100</v>
      </c>
      <c r="AM268" s="74">
        <f t="shared" si="31"/>
        <v>0</v>
      </c>
      <c r="AN268" s="22" t="s">
        <v>245</v>
      </c>
      <c r="AO268" s="58">
        <v>0</v>
      </c>
      <c r="AP268" t="s">
        <v>233</v>
      </c>
      <c r="AQ268" s="22" t="s">
        <v>667</v>
      </c>
      <c r="AR268" t="s">
        <v>117</v>
      </c>
      <c r="AT268" t="s">
        <v>98</v>
      </c>
      <c r="AV268" t="s">
        <v>325</v>
      </c>
      <c r="AW268" t="s">
        <v>182</v>
      </c>
      <c r="AX268" t="s">
        <v>182</v>
      </c>
      <c r="AY268" t="s">
        <v>182</v>
      </c>
      <c r="AZ268" t="s">
        <v>458</v>
      </c>
      <c r="BA268" t="s">
        <v>458</v>
      </c>
    </row>
    <row r="269" spans="1:54" x14ac:dyDescent="0.6">
      <c r="A269" s="14" t="str">
        <f t="shared" si="32"/>
        <v>Y</v>
      </c>
      <c r="B269" s="14" t="str">
        <f t="shared" si="33"/>
        <v>N</v>
      </c>
      <c r="C269" s="14" t="s">
        <v>141</v>
      </c>
      <c r="D269" t="s">
        <v>63</v>
      </c>
      <c r="E269" t="s">
        <v>141</v>
      </c>
      <c r="F269" t="str">
        <f t="shared" si="35"/>
        <v>N_Y</v>
      </c>
      <c r="G269" s="22">
        <v>143</v>
      </c>
      <c r="H269" t="s">
        <v>500</v>
      </c>
      <c r="I269" s="5">
        <v>44818</v>
      </c>
      <c r="J269" s="7">
        <v>0.57291666666666663</v>
      </c>
      <c r="K269" s="20">
        <v>10.5</v>
      </c>
      <c r="L269" s="20">
        <v>11</v>
      </c>
      <c r="M269" s="20">
        <v>14</v>
      </c>
      <c r="N269" t="s">
        <v>88</v>
      </c>
      <c r="O269" t="s">
        <v>154</v>
      </c>
      <c r="P269" s="22">
        <v>32</v>
      </c>
      <c r="Q269" t="s">
        <v>56</v>
      </c>
      <c r="R269" t="s">
        <v>605</v>
      </c>
      <c r="S269" t="s">
        <v>63</v>
      </c>
      <c r="T269">
        <f t="shared" si="30"/>
        <v>7</v>
      </c>
      <c r="U269" s="5">
        <v>44825</v>
      </c>
      <c r="V269" s="7">
        <v>0.53472222222222221</v>
      </c>
      <c r="W269" s="5">
        <v>44834</v>
      </c>
      <c r="X269" s="7">
        <v>0.46180555555555558</v>
      </c>
      <c r="Y269" s="22">
        <f t="shared" si="34"/>
        <v>9</v>
      </c>
      <c r="Z269" t="s">
        <v>509</v>
      </c>
      <c r="AA269" t="s">
        <v>509</v>
      </c>
      <c r="AB269">
        <v>2</v>
      </c>
      <c r="AC269" t="s">
        <v>117</v>
      </c>
      <c r="AD269" t="s">
        <v>117</v>
      </c>
      <c r="AE269" t="s">
        <v>244</v>
      </c>
      <c r="AF269" t="s">
        <v>120</v>
      </c>
      <c r="AG269" s="20">
        <v>16</v>
      </c>
      <c r="AH269" s="20">
        <v>10</v>
      </c>
      <c r="AI269" s="20">
        <v>3</v>
      </c>
      <c r="AJ269" s="22">
        <v>15</v>
      </c>
      <c r="AK269" s="22">
        <v>0</v>
      </c>
      <c r="AL269" s="22">
        <v>0</v>
      </c>
      <c r="AM269" s="74">
        <f t="shared" si="31"/>
        <v>1</v>
      </c>
      <c r="AN269" s="22" t="s">
        <v>246</v>
      </c>
      <c r="AO269" s="58">
        <v>2</v>
      </c>
      <c r="AP269" t="s">
        <v>234</v>
      </c>
      <c r="AQ269" s="22" t="s">
        <v>667</v>
      </c>
      <c r="AR269" t="s">
        <v>117</v>
      </c>
      <c r="AT269" t="s">
        <v>98</v>
      </c>
      <c r="AV269" t="s">
        <v>325</v>
      </c>
      <c r="AW269" t="s">
        <v>448</v>
      </c>
      <c r="AX269" t="s">
        <v>579</v>
      </c>
      <c r="AY269" t="s">
        <v>620</v>
      </c>
      <c r="AZ269" t="s">
        <v>458</v>
      </c>
      <c r="BA269" t="s">
        <v>458</v>
      </c>
    </row>
    <row r="270" spans="1:54" x14ac:dyDescent="0.6">
      <c r="A270" s="14" t="str">
        <f t="shared" si="32"/>
        <v>Y</v>
      </c>
      <c r="B270" s="14" t="str">
        <f t="shared" si="33"/>
        <v>N</v>
      </c>
      <c r="C270" s="14" t="s">
        <v>141</v>
      </c>
      <c r="D270" t="s">
        <v>63</v>
      </c>
      <c r="E270" t="s">
        <v>141</v>
      </c>
      <c r="F270" t="str">
        <f t="shared" si="35"/>
        <v>N_Y</v>
      </c>
      <c r="G270" s="22">
        <v>144</v>
      </c>
      <c r="H270" t="s">
        <v>559</v>
      </c>
      <c r="I270" s="5">
        <v>44818</v>
      </c>
      <c r="J270" s="7">
        <v>0.57291666666666663</v>
      </c>
      <c r="K270" s="20">
        <v>10</v>
      </c>
      <c r="L270" s="20">
        <v>10</v>
      </c>
      <c r="M270" s="20">
        <v>15</v>
      </c>
      <c r="N270" t="s">
        <v>71</v>
      </c>
      <c r="O270" t="s">
        <v>209</v>
      </c>
      <c r="P270" s="22">
        <v>45</v>
      </c>
      <c r="Q270" t="s">
        <v>56</v>
      </c>
      <c r="R270" t="s">
        <v>606</v>
      </c>
      <c r="S270" t="s">
        <v>63</v>
      </c>
      <c r="T270">
        <f t="shared" si="30"/>
        <v>7</v>
      </c>
      <c r="U270" s="5">
        <v>44825</v>
      </c>
      <c r="V270" s="7">
        <v>0.54166666666666663</v>
      </c>
      <c r="W270" s="5">
        <v>44834</v>
      </c>
      <c r="X270" s="7">
        <v>0.46527777777777773</v>
      </c>
      <c r="Y270" s="22">
        <f t="shared" si="34"/>
        <v>9</v>
      </c>
      <c r="Z270" t="s">
        <v>576</v>
      </c>
      <c r="AA270" t="s">
        <v>576</v>
      </c>
      <c r="AB270">
        <v>1</v>
      </c>
      <c r="AC270" t="s">
        <v>98</v>
      </c>
      <c r="AD270" t="s">
        <v>98</v>
      </c>
      <c r="AE270" t="s">
        <v>242</v>
      </c>
      <c r="AF270" t="s">
        <v>97</v>
      </c>
      <c r="AG270" s="20">
        <v>7</v>
      </c>
      <c r="AH270" s="20">
        <v>4.5</v>
      </c>
      <c r="AI270" s="20">
        <v>1</v>
      </c>
      <c r="AJ270" s="22">
        <v>100</v>
      </c>
      <c r="AK270" s="22">
        <v>0</v>
      </c>
      <c r="AL270" s="22">
        <v>100</v>
      </c>
      <c r="AM270" s="74">
        <f t="shared" si="31"/>
        <v>0</v>
      </c>
      <c r="AN270" s="22" t="s">
        <v>245</v>
      </c>
      <c r="AO270" s="58">
        <v>0</v>
      </c>
      <c r="AP270" t="s">
        <v>233</v>
      </c>
      <c r="AQ270" s="22" t="s">
        <v>669</v>
      </c>
      <c r="AT270" t="s">
        <v>98</v>
      </c>
      <c r="AU270" t="s">
        <v>118</v>
      </c>
      <c r="AV270" t="s">
        <v>324</v>
      </c>
      <c r="AW270" t="s">
        <v>182</v>
      </c>
      <c r="AX270" t="s">
        <v>182</v>
      </c>
      <c r="AY270" t="s">
        <v>182</v>
      </c>
      <c r="AZ270" t="s">
        <v>182</v>
      </c>
      <c r="BA270" t="s">
        <v>182</v>
      </c>
    </row>
    <row r="271" spans="1:54" x14ac:dyDescent="0.6">
      <c r="A271" s="14" t="str">
        <f t="shared" si="32"/>
        <v>Y</v>
      </c>
      <c r="B271" s="14" t="str">
        <f t="shared" si="33"/>
        <v>N</v>
      </c>
      <c r="C271" s="14" t="s">
        <v>141</v>
      </c>
      <c r="D271" t="s">
        <v>63</v>
      </c>
      <c r="E271" t="s">
        <v>141</v>
      </c>
      <c r="F271" t="str">
        <f t="shared" si="35"/>
        <v>N_Y</v>
      </c>
      <c r="G271" s="22">
        <v>144</v>
      </c>
      <c r="H271" t="s">
        <v>559</v>
      </c>
      <c r="I271" s="5">
        <v>44818</v>
      </c>
      <c r="J271" s="7">
        <v>0.57291666666666663</v>
      </c>
      <c r="K271" s="20">
        <v>10</v>
      </c>
      <c r="L271" s="20">
        <v>10</v>
      </c>
      <c r="M271" s="20">
        <v>15</v>
      </c>
      <c r="N271" t="s">
        <v>71</v>
      </c>
      <c r="O271" t="s">
        <v>209</v>
      </c>
      <c r="P271" s="22">
        <v>45</v>
      </c>
      <c r="Q271" t="s">
        <v>56</v>
      </c>
      <c r="R271" t="s">
        <v>606</v>
      </c>
      <c r="S271" t="s">
        <v>63</v>
      </c>
      <c r="T271">
        <f t="shared" si="30"/>
        <v>7</v>
      </c>
      <c r="U271" s="5">
        <v>44825</v>
      </c>
      <c r="V271" s="7">
        <v>0.54166666666666663</v>
      </c>
      <c r="W271" s="5">
        <v>44834</v>
      </c>
      <c r="X271" s="7">
        <v>0.46527777777777773</v>
      </c>
      <c r="Y271" s="22">
        <f t="shared" si="34"/>
        <v>9</v>
      </c>
      <c r="Z271" t="s">
        <v>576</v>
      </c>
      <c r="AA271" t="s">
        <v>576</v>
      </c>
      <c r="AB271">
        <v>2</v>
      </c>
      <c r="AC271" t="s">
        <v>118</v>
      </c>
      <c r="AD271" t="s">
        <v>118</v>
      </c>
      <c r="AE271" t="s">
        <v>244</v>
      </c>
      <c r="AF271" t="s">
        <v>121</v>
      </c>
      <c r="AG271" s="20">
        <v>9</v>
      </c>
      <c r="AH271" s="20">
        <v>6</v>
      </c>
      <c r="AI271" s="20">
        <v>9</v>
      </c>
      <c r="AJ271" s="22">
        <v>20</v>
      </c>
      <c r="AK271" s="22">
        <v>0</v>
      </c>
      <c r="AL271" s="22">
        <v>20</v>
      </c>
      <c r="AM271" s="74">
        <f t="shared" si="31"/>
        <v>0</v>
      </c>
      <c r="AN271" s="22" t="s">
        <v>245</v>
      </c>
      <c r="AO271" s="58">
        <v>0</v>
      </c>
      <c r="AP271" t="s">
        <v>233</v>
      </c>
      <c r="AQ271" s="22" t="s">
        <v>669</v>
      </c>
      <c r="AT271" t="s">
        <v>98</v>
      </c>
      <c r="AU271" t="s">
        <v>118</v>
      </c>
      <c r="AV271" t="s">
        <v>324</v>
      </c>
      <c r="AW271" t="s">
        <v>182</v>
      </c>
      <c r="AX271" t="s">
        <v>182</v>
      </c>
      <c r="AY271" t="s">
        <v>182</v>
      </c>
      <c r="AZ271" t="s">
        <v>182</v>
      </c>
      <c r="BA271" t="s">
        <v>182</v>
      </c>
    </row>
    <row r="272" spans="1:54" x14ac:dyDescent="0.6">
      <c r="A272" s="14" t="str">
        <f t="shared" si="32"/>
        <v>N</v>
      </c>
      <c r="B272" s="14" t="str">
        <f t="shared" si="33"/>
        <v>N</v>
      </c>
      <c r="C272" s="14" t="s">
        <v>141</v>
      </c>
      <c r="D272" t="s">
        <v>63</v>
      </c>
      <c r="E272" t="s">
        <v>63</v>
      </c>
      <c r="F272" t="str">
        <f t="shared" si="35"/>
        <v>N_N</v>
      </c>
      <c r="G272" s="22">
        <v>145</v>
      </c>
      <c r="H272" t="s">
        <v>558</v>
      </c>
      <c r="I272" s="5">
        <v>44825</v>
      </c>
      <c r="J272" s="7">
        <v>0.43055555555555558</v>
      </c>
      <c r="K272" s="20">
        <v>11</v>
      </c>
      <c r="L272" s="20">
        <v>12</v>
      </c>
      <c r="M272" s="20">
        <v>17</v>
      </c>
      <c r="N272" t="s">
        <v>108</v>
      </c>
      <c r="O272" t="s">
        <v>189</v>
      </c>
      <c r="P272" s="22">
        <v>30</v>
      </c>
      <c r="Q272" t="s">
        <v>56</v>
      </c>
      <c r="R272" t="s">
        <v>607</v>
      </c>
      <c r="S272" t="s">
        <v>63</v>
      </c>
      <c r="T272">
        <f t="shared" si="30"/>
        <v>0</v>
      </c>
      <c r="U272" s="5">
        <v>44825</v>
      </c>
      <c r="V272" s="7">
        <v>0.45624999999999999</v>
      </c>
      <c r="W272" s="5">
        <v>44834</v>
      </c>
      <c r="X272" s="7">
        <v>0.46875</v>
      </c>
      <c r="Y272" s="22">
        <f t="shared" si="34"/>
        <v>9</v>
      </c>
      <c r="Z272" t="s">
        <v>576</v>
      </c>
      <c r="AA272" t="s">
        <v>576</v>
      </c>
      <c r="AB272">
        <v>1</v>
      </c>
      <c r="AC272" t="s">
        <v>98</v>
      </c>
      <c r="AD272" t="s">
        <v>98</v>
      </c>
      <c r="AE272" t="s">
        <v>242</v>
      </c>
      <c r="AF272" t="s">
        <v>97</v>
      </c>
      <c r="AG272" s="20">
        <v>9</v>
      </c>
      <c r="AH272" s="20">
        <v>6.5</v>
      </c>
      <c r="AI272" s="20">
        <v>2</v>
      </c>
      <c r="AJ272" s="22">
        <v>100</v>
      </c>
      <c r="AK272" s="22">
        <v>0</v>
      </c>
      <c r="AL272" s="22">
        <v>100</v>
      </c>
      <c r="AM272" s="74">
        <f t="shared" si="31"/>
        <v>0</v>
      </c>
      <c r="AN272" s="22" t="s">
        <v>245</v>
      </c>
      <c r="AO272" s="58">
        <v>0</v>
      </c>
      <c r="AP272" t="s">
        <v>233</v>
      </c>
      <c r="AQ272" s="22" t="s">
        <v>669</v>
      </c>
      <c r="AT272" t="s">
        <v>98</v>
      </c>
      <c r="AU272" t="s">
        <v>118</v>
      </c>
      <c r="AV272" t="s">
        <v>324</v>
      </c>
      <c r="AW272" t="s">
        <v>182</v>
      </c>
      <c r="AX272" t="s">
        <v>182</v>
      </c>
      <c r="AY272" t="s">
        <v>182</v>
      </c>
      <c r="AZ272" t="s">
        <v>182</v>
      </c>
      <c r="BA272" t="s">
        <v>182</v>
      </c>
    </row>
    <row r="273" spans="1:53" x14ac:dyDescent="0.6">
      <c r="A273" s="14" t="str">
        <f t="shared" si="32"/>
        <v>N</v>
      </c>
      <c r="B273" s="14" t="str">
        <f t="shared" si="33"/>
        <v>N</v>
      </c>
      <c r="C273" s="14" t="s">
        <v>141</v>
      </c>
      <c r="D273" t="s">
        <v>63</v>
      </c>
      <c r="E273" t="s">
        <v>141</v>
      </c>
      <c r="F273" t="str">
        <f t="shared" si="35"/>
        <v>N_Y</v>
      </c>
      <c r="G273" s="22">
        <v>145</v>
      </c>
      <c r="H273" t="s">
        <v>558</v>
      </c>
      <c r="I273" s="5">
        <v>44825</v>
      </c>
      <c r="J273" s="7">
        <v>0.43055555555555558</v>
      </c>
      <c r="K273" s="20">
        <v>11</v>
      </c>
      <c r="L273" s="20">
        <v>12</v>
      </c>
      <c r="M273" s="20">
        <v>17</v>
      </c>
      <c r="N273" t="s">
        <v>108</v>
      </c>
      <c r="O273" t="s">
        <v>189</v>
      </c>
      <c r="P273" s="22">
        <v>30</v>
      </c>
      <c r="Q273" t="s">
        <v>56</v>
      </c>
      <c r="R273" t="s">
        <v>607</v>
      </c>
      <c r="S273" t="s">
        <v>63</v>
      </c>
      <c r="T273">
        <f t="shared" si="30"/>
        <v>0</v>
      </c>
      <c r="U273" s="5">
        <v>44825</v>
      </c>
      <c r="V273" s="7">
        <v>0.45624999999999999</v>
      </c>
      <c r="W273" s="5">
        <v>44834</v>
      </c>
      <c r="X273" s="7">
        <v>0.46875</v>
      </c>
      <c r="Y273" s="22">
        <f t="shared" si="34"/>
        <v>9</v>
      </c>
      <c r="Z273" t="s">
        <v>576</v>
      </c>
      <c r="AA273" t="s">
        <v>576</v>
      </c>
      <c r="AB273">
        <v>2</v>
      </c>
      <c r="AC273" t="s">
        <v>118</v>
      </c>
      <c r="AD273" t="s">
        <v>118</v>
      </c>
      <c r="AE273" t="s">
        <v>244</v>
      </c>
      <c r="AF273" t="s">
        <v>121</v>
      </c>
      <c r="AG273" s="20">
        <v>9</v>
      </c>
      <c r="AH273" s="20">
        <v>8.5</v>
      </c>
      <c r="AI273" s="20">
        <v>11</v>
      </c>
      <c r="AJ273" s="22">
        <v>75</v>
      </c>
      <c r="AK273" s="22">
        <v>0</v>
      </c>
      <c r="AL273" s="22">
        <v>75</v>
      </c>
      <c r="AM273" s="74">
        <f t="shared" si="31"/>
        <v>0</v>
      </c>
      <c r="AN273" s="22" t="s">
        <v>245</v>
      </c>
      <c r="AO273" s="58">
        <v>0</v>
      </c>
      <c r="AP273" t="s">
        <v>233</v>
      </c>
      <c r="AQ273" s="22" t="s">
        <v>669</v>
      </c>
      <c r="AT273" t="s">
        <v>98</v>
      </c>
      <c r="AU273" t="s">
        <v>118</v>
      </c>
      <c r="AV273" t="s">
        <v>324</v>
      </c>
      <c r="AW273" t="s">
        <v>182</v>
      </c>
      <c r="AX273" t="s">
        <v>182</v>
      </c>
      <c r="AY273" t="s">
        <v>182</v>
      </c>
      <c r="AZ273" t="s">
        <v>182</v>
      </c>
      <c r="BA273" t="s">
        <v>182</v>
      </c>
    </row>
    <row r="274" spans="1:53" x14ac:dyDescent="0.6">
      <c r="A274" s="14" t="str">
        <f t="shared" si="32"/>
        <v>N</v>
      </c>
      <c r="B274" s="14" t="str">
        <f t="shared" si="33"/>
        <v>N</v>
      </c>
      <c r="C274" s="14" t="s">
        <v>141</v>
      </c>
      <c r="D274" t="s">
        <v>63</v>
      </c>
      <c r="E274" t="s">
        <v>63</v>
      </c>
      <c r="F274" t="str">
        <f t="shared" si="35"/>
        <v>N_N</v>
      </c>
      <c r="G274" s="22">
        <v>146</v>
      </c>
      <c r="H274" t="s">
        <v>560</v>
      </c>
      <c r="I274" s="5">
        <v>44825</v>
      </c>
      <c r="J274" s="7">
        <v>0.54861111111111105</v>
      </c>
      <c r="K274" s="20">
        <v>12</v>
      </c>
      <c r="L274" s="20">
        <v>13</v>
      </c>
      <c r="M274" s="20">
        <v>19</v>
      </c>
      <c r="N274" t="s">
        <v>108</v>
      </c>
      <c r="O274" t="s">
        <v>188</v>
      </c>
      <c r="P274" s="22">
        <v>29</v>
      </c>
      <c r="Q274" t="s">
        <v>56</v>
      </c>
      <c r="R274" t="s">
        <v>613</v>
      </c>
      <c r="S274" s="56" t="s">
        <v>613</v>
      </c>
      <c r="T274">
        <f t="shared" si="30"/>
        <v>9</v>
      </c>
      <c r="U274" s="5">
        <v>44834</v>
      </c>
      <c r="V274" s="7">
        <v>0.49374999999999997</v>
      </c>
      <c r="W274" s="5">
        <v>44839</v>
      </c>
      <c r="X274" s="7">
        <v>0.55277777777777781</v>
      </c>
      <c r="Y274" s="22">
        <f t="shared" si="34"/>
        <v>5</v>
      </c>
      <c r="Z274" t="s">
        <v>536</v>
      </c>
      <c r="AA274" t="s">
        <v>536</v>
      </c>
      <c r="AB274">
        <v>1</v>
      </c>
      <c r="AC274" t="s">
        <v>287</v>
      </c>
      <c r="AD274" t="s">
        <v>287</v>
      </c>
      <c r="AE274" t="s">
        <v>242</v>
      </c>
      <c r="AF274" t="s">
        <v>402</v>
      </c>
      <c r="AG274" s="20">
        <v>5.5</v>
      </c>
      <c r="AH274" s="20">
        <v>6</v>
      </c>
      <c r="AI274" s="20">
        <v>4</v>
      </c>
      <c r="AJ274" s="22">
        <v>80</v>
      </c>
      <c r="AK274" s="22">
        <v>0</v>
      </c>
      <c r="AL274" s="22">
        <v>80</v>
      </c>
      <c r="AM274" s="74">
        <f t="shared" si="31"/>
        <v>0</v>
      </c>
      <c r="AN274" s="22" t="s">
        <v>245</v>
      </c>
      <c r="AO274" s="58">
        <v>0</v>
      </c>
      <c r="AP274" t="s">
        <v>233</v>
      </c>
      <c r="AQ274" s="22" t="s">
        <v>669</v>
      </c>
      <c r="AT274" t="s">
        <v>287</v>
      </c>
      <c r="AU274" t="s">
        <v>117</v>
      </c>
      <c r="AV274" t="s">
        <v>324</v>
      </c>
      <c r="AW274" t="s">
        <v>182</v>
      </c>
      <c r="AX274" t="s">
        <v>182</v>
      </c>
      <c r="AY274" t="s">
        <v>182</v>
      </c>
      <c r="AZ274" t="s">
        <v>458</v>
      </c>
      <c r="BA274" t="s">
        <v>458</v>
      </c>
    </row>
    <row r="275" spans="1:53" x14ac:dyDescent="0.6">
      <c r="A275" s="14" t="str">
        <f t="shared" si="32"/>
        <v>N</v>
      </c>
      <c r="B275" s="14" t="str">
        <f t="shared" si="33"/>
        <v>N</v>
      </c>
      <c r="C275" s="14" t="s">
        <v>141</v>
      </c>
      <c r="D275" t="s">
        <v>63</v>
      </c>
      <c r="E275" t="s">
        <v>141</v>
      </c>
      <c r="F275" t="str">
        <f t="shared" si="35"/>
        <v>N_Y</v>
      </c>
      <c r="G275" s="22">
        <v>146</v>
      </c>
      <c r="H275" t="s">
        <v>560</v>
      </c>
      <c r="I275" s="5">
        <v>44825</v>
      </c>
      <c r="J275" s="7">
        <v>0.54861111111111105</v>
      </c>
      <c r="K275" s="20">
        <v>12</v>
      </c>
      <c r="L275" s="20">
        <v>13</v>
      </c>
      <c r="M275" s="20">
        <v>19</v>
      </c>
      <c r="N275" t="s">
        <v>108</v>
      </c>
      <c r="O275" t="s">
        <v>188</v>
      </c>
      <c r="P275" s="22">
        <v>29</v>
      </c>
      <c r="Q275" t="s">
        <v>56</v>
      </c>
      <c r="R275" t="s">
        <v>613</v>
      </c>
      <c r="S275" s="56" t="s">
        <v>613</v>
      </c>
      <c r="T275">
        <f t="shared" si="30"/>
        <v>9</v>
      </c>
      <c r="U275" s="5">
        <v>44834</v>
      </c>
      <c r="V275" s="7">
        <v>0.49374999999999997</v>
      </c>
      <c r="W275" s="5">
        <v>44839</v>
      </c>
      <c r="X275" s="7">
        <v>0.55277777777777781</v>
      </c>
      <c r="Y275" s="22">
        <f t="shared" si="34"/>
        <v>5</v>
      </c>
      <c r="Z275" t="s">
        <v>536</v>
      </c>
      <c r="AA275" t="s">
        <v>536</v>
      </c>
      <c r="AB275">
        <v>2</v>
      </c>
      <c r="AC275" t="s">
        <v>117</v>
      </c>
      <c r="AD275" t="s">
        <v>117</v>
      </c>
      <c r="AE275" t="s">
        <v>244</v>
      </c>
      <c r="AF275" t="s">
        <v>120</v>
      </c>
      <c r="AG275" s="20">
        <v>8.5</v>
      </c>
      <c r="AH275" s="20">
        <v>8</v>
      </c>
      <c r="AI275" s="20">
        <v>3</v>
      </c>
      <c r="AJ275" s="22">
        <v>20</v>
      </c>
      <c r="AK275" s="22">
        <v>0</v>
      </c>
      <c r="AL275" s="22">
        <v>20</v>
      </c>
      <c r="AM275" s="74">
        <f t="shared" si="31"/>
        <v>0</v>
      </c>
      <c r="AN275" s="22" t="s">
        <v>245</v>
      </c>
      <c r="AO275" s="58">
        <v>0</v>
      </c>
      <c r="AP275" t="s">
        <v>233</v>
      </c>
      <c r="AQ275" s="22" t="s">
        <v>669</v>
      </c>
      <c r="AT275" t="s">
        <v>287</v>
      </c>
      <c r="AU275" t="s">
        <v>117</v>
      </c>
      <c r="AV275" t="s">
        <v>324</v>
      </c>
      <c r="AW275" t="s">
        <v>182</v>
      </c>
      <c r="AX275" t="s">
        <v>182</v>
      </c>
      <c r="AY275" t="s">
        <v>182</v>
      </c>
      <c r="AZ275" t="s">
        <v>458</v>
      </c>
      <c r="BA275" t="s">
        <v>458</v>
      </c>
    </row>
    <row r="276" spans="1:53" x14ac:dyDescent="0.6">
      <c r="A276" s="14" t="str">
        <f t="shared" si="32"/>
        <v>N</v>
      </c>
      <c r="B276" s="14" t="str">
        <f t="shared" si="33"/>
        <v>N</v>
      </c>
      <c r="C276" s="14" t="s">
        <v>141</v>
      </c>
      <c r="D276" t="s">
        <v>141</v>
      </c>
      <c r="E276" t="s">
        <v>141</v>
      </c>
      <c r="F276" t="str">
        <f t="shared" si="35"/>
        <v>Y_Y</v>
      </c>
      <c r="G276" s="22">
        <v>147</v>
      </c>
      <c r="H276" t="s">
        <v>499</v>
      </c>
      <c r="I276" s="5">
        <v>44825</v>
      </c>
      <c r="J276" s="7">
        <v>0.54861111111111105</v>
      </c>
      <c r="K276" s="20">
        <v>11</v>
      </c>
      <c r="L276" s="20">
        <v>11</v>
      </c>
      <c r="M276" s="20">
        <v>16</v>
      </c>
      <c r="N276" t="s">
        <v>108</v>
      </c>
      <c r="O276" t="s">
        <v>188</v>
      </c>
      <c r="P276" s="22">
        <v>29</v>
      </c>
      <c r="Q276" t="s">
        <v>610</v>
      </c>
      <c r="R276" t="s">
        <v>614</v>
      </c>
      <c r="S276" t="s">
        <v>63</v>
      </c>
      <c r="T276">
        <f t="shared" si="30"/>
        <v>9</v>
      </c>
      <c r="U276" s="5">
        <v>44834</v>
      </c>
      <c r="V276" s="7">
        <v>0.49861111111111112</v>
      </c>
      <c r="W276" s="5">
        <v>44839</v>
      </c>
      <c r="X276" s="7">
        <v>0.55555555555555558</v>
      </c>
      <c r="Y276" s="22">
        <f t="shared" si="34"/>
        <v>5</v>
      </c>
      <c r="Z276" t="s">
        <v>509</v>
      </c>
      <c r="AA276" t="s">
        <v>509</v>
      </c>
      <c r="AB276">
        <v>1</v>
      </c>
      <c r="AC276" t="s">
        <v>117</v>
      </c>
      <c r="AD276" t="s">
        <v>117</v>
      </c>
      <c r="AE276" t="s">
        <v>242</v>
      </c>
      <c r="AF276" t="s">
        <v>120</v>
      </c>
      <c r="AG276" s="20">
        <v>17</v>
      </c>
      <c r="AH276" s="20">
        <v>12</v>
      </c>
      <c r="AI276" s="20">
        <v>18</v>
      </c>
      <c r="AJ276" s="22">
        <v>90</v>
      </c>
      <c r="AK276" s="22">
        <v>0</v>
      </c>
      <c r="AL276" s="22">
        <v>90</v>
      </c>
      <c r="AM276" s="74">
        <f>((AJ276-AL276)/AJ276)*100</f>
        <v>0</v>
      </c>
      <c r="AN276" s="22" t="s">
        <v>245</v>
      </c>
      <c r="AO276" s="58">
        <v>0</v>
      </c>
      <c r="AP276" t="s">
        <v>233</v>
      </c>
      <c r="AQ276" s="22" t="s">
        <v>669</v>
      </c>
      <c r="AT276" t="s">
        <v>117</v>
      </c>
      <c r="AU276" t="s">
        <v>98</v>
      </c>
      <c r="AV276" t="s">
        <v>324</v>
      </c>
      <c r="AW276" t="s">
        <v>182</v>
      </c>
      <c r="AX276" t="s">
        <v>182</v>
      </c>
      <c r="AY276" t="s">
        <v>182</v>
      </c>
      <c r="AZ276" t="s">
        <v>98</v>
      </c>
      <c r="BA276" t="s">
        <v>460</v>
      </c>
    </row>
    <row r="277" spans="1:53" x14ac:dyDescent="0.6">
      <c r="A277" s="14" t="str">
        <f t="shared" si="32"/>
        <v>N</v>
      </c>
      <c r="B277" s="14" t="str">
        <f t="shared" si="33"/>
        <v>N</v>
      </c>
      <c r="C277" s="14" t="s">
        <v>141</v>
      </c>
      <c r="D277" t="s">
        <v>141</v>
      </c>
      <c r="E277" t="s">
        <v>141</v>
      </c>
      <c r="F277" t="str">
        <f t="shared" si="35"/>
        <v>Y_Y</v>
      </c>
      <c r="G277" s="22">
        <v>147</v>
      </c>
      <c r="H277" t="s">
        <v>499</v>
      </c>
      <c r="I277" s="5">
        <v>44825</v>
      </c>
      <c r="J277" s="7">
        <v>0.54861111111111105</v>
      </c>
      <c r="K277" s="20">
        <v>11</v>
      </c>
      <c r="L277" s="20">
        <v>11</v>
      </c>
      <c r="M277" s="20">
        <v>16</v>
      </c>
      <c r="N277" t="s">
        <v>108</v>
      </c>
      <c r="O277" t="s">
        <v>188</v>
      </c>
      <c r="P277" s="22">
        <v>29</v>
      </c>
      <c r="Q277" t="s">
        <v>610</v>
      </c>
      <c r="R277" t="s">
        <v>614</v>
      </c>
      <c r="S277" t="s">
        <v>63</v>
      </c>
      <c r="T277">
        <f t="shared" si="30"/>
        <v>9</v>
      </c>
      <c r="U277" s="5">
        <v>44834</v>
      </c>
      <c r="V277" s="7">
        <v>0.49861111111111112</v>
      </c>
      <c r="W277" s="5">
        <v>44839</v>
      </c>
      <c r="X277" s="7">
        <v>0.55555555555555558</v>
      </c>
      <c r="Y277" s="22">
        <f t="shared" si="34"/>
        <v>5</v>
      </c>
      <c r="Z277" t="s">
        <v>509</v>
      </c>
      <c r="AA277" t="s">
        <v>509</v>
      </c>
      <c r="AB277">
        <v>2</v>
      </c>
      <c r="AC277" t="s">
        <v>98</v>
      </c>
      <c r="AD277" t="s">
        <v>98</v>
      </c>
      <c r="AE277" t="s">
        <v>244</v>
      </c>
      <c r="AF277" t="s">
        <v>97</v>
      </c>
      <c r="AG277" s="20">
        <v>13.5</v>
      </c>
      <c r="AH277" s="20">
        <v>10</v>
      </c>
      <c r="AI277" s="20">
        <v>2.5</v>
      </c>
      <c r="AJ277" s="22">
        <v>95</v>
      </c>
      <c r="AK277" s="22">
        <v>0</v>
      </c>
      <c r="AL277" s="22">
        <v>95</v>
      </c>
      <c r="AM277" s="74">
        <f t="shared" ref="AM277:AM323" si="36">((AJ277-AL277)/AJ277)*100</f>
        <v>0</v>
      </c>
      <c r="AN277" s="22" t="s">
        <v>245</v>
      </c>
      <c r="AO277" s="58">
        <v>0</v>
      </c>
      <c r="AP277" t="s">
        <v>233</v>
      </c>
      <c r="AQ277" s="22" t="s">
        <v>669</v>
      </c>
      <c r="AT277" t="s">
        <v>117</v>
      </c>
      <c r="AU277" t="s">
        <v>98</v>
      </c>
      <c r="AV277" t="s">
        <v>324</v>
      </c>
      <c r="AW277" t="s">
        <v>182</v>
      </c>
      <c r="AX277" t="s">
        <v>182</v>
      </c>
      <c r="AY277" t="s">
        <v>182</v>
      </c>
      <c r="AZ277" t="s">
        <v>98</v>
      </c>
      <c r="BA277" t="s">
        <v>460</v>
      </c>
    </row>
    <row r="278" spans="1:53" x14ac:dyDescent="0.6">
      <c r="A278" s="14" t="str">
        <f t="shared" si="32"/>
        <v>N</v>
      </c>
      <c r="B278" s="14" t="str">
        <f t="shared" si="33"/>
        <v>N</v>
      </c>
      <c r="C278" s="14" t="s">
        <v>141</v>
      </c>
      <c r="D278" t="s">
        <v>141</v>
      </c>
      <c r="E278" t="s">
        <v>141</v>
      </c>
      <c r="F278" t="str">
        <f t="shared" si="35"/>
        <v>Y_Y</v>
      </c>
      <c r="G278" s="22">
        <v>148</v>
      </c>
      <c r="H278" t="s">
        <v>500</v>
      </c>
      <c r="I278" s="5">
        <v>44825</v>
      </c>
      <c r="J278" s="7">
        <v>0.54861111111111105</v>
      </c>
      <c r="K278" s="20">
        <v>11.5</v>
      </c>
      <c r="L278" s="20">
        <v>11.5</v>
      </c>
      <c r="M278" s="20">
        <v>16</v>
      </c>
      <c r="N278" t="s">
        <v>108</v>
      </c>
      <c r="O278" t="s">
        <v>609</v>
      </c>
      <c r="P278" s="22">
        <v>28</v>
      </c>
      <c r="Q278" t="s">
        <v>562</v>
      </c>
      <c r="R278" t="s">
        <v>567</v>
      </c>
      <c r="S278" s="56" t="s">
        <v>567</v>
      </c>
      <c r="T278">
        <f t="shared" si="30"/>
        <v>9</v>
      </c>
      <c r="U278" s="5">
        <v>44834</v>
      </c>
      <c r="V278" s="7">
        <v>0.57361111111111118</v>
      </c>
      <c r="W278" s="5">
        <v>44839</v>
      </c>
      <c r="X278" s="7">
        <v>0.55763888888888891</v>
      </c>
      <c r="Y278" s="22">
        <f t="shared" si="34"/>
        <v>5</v>
      </c>
      <c r="Z278" t="s">
        <v>576</v>
      </c>
      <c r="AA278" t="s">
        <v>576</v>
      </c>
      <c r="AB278">
        <v>1</v>
      </c>
      <c r="AC278" t="s">
        <v>98</v>
      </c>
      <c r="AD278" t="s">
        <v>98</v>
      </c>
      <c r="AE278" t="s">
        <v>242</v>
      </c>
      <c r="AF278" t="s">
        <v>97</v>
      </c>
      <c r="AG278" s="20">
        <v>10</v>
      </c>
      <c r="AH278" s="20">
        <v>7.5</v>
      </c>
      <c r="AI278" s="20">
        <v>2</v>
      </c>
      <c r="AJ278" s="22">
        <v>90</v>
      </c>
      <c r="AK278" s="22">
        <v>0</v>
      </c>
      <c r="AL278" s="22">
        <v>90</v>
      </c>
      <c r="AM278" s="74">
        <f t="shared" si="36"/>
        <v>0</v>
      </c>
      <c r="AN278" s="22" t="s">
        <v>245</v>
      </c>
      <c r="AO278" s="58">
        <v>0</v>
      </c>
      <c r="AP278" t="s">
        <v>233</v>
      </c>
      <c r="AQ278" s="22" t="s">
        <v>669</v>
      </c>
      <c r="AT278" t="s">
        <v>98</v>
      </c>
      <c r="AU278" t="s">
        <v>118</v>
      </c>
      <c r="AV278" t="s">
        <v>324</v>
      </c>
      <c r="AW278" t="s">
        <v>182</v>
      </c>
      <c r="AX278" t="s">
        <v>182</v>
      </c>
      <c r="AY278" t="s">
        <v>182</v>
      </c>
      <c r="AZ278" t="s">
        <v>98</v>
      </c>
      <c r="BA278" t="s">
        <v>460</v>
      </c>
    </row>
    <row r="279" spans="1:53" x14ac:dyDescent="0.6">
      <c r="A279" s="14" t="str">
        <f t="shared" si="32"/>
        <v>N</v>
      </c>
      <c r="B279" s="14" t="str">
        <f t="shared" si="33"/>
        <v>N</v>
      </c>
      <c r="C279" s="14" t="s">
        <v>141</v>
      </c>
      <c r="D279" t="s">
        <v>141</v>
      </c>
      <c r="E279" t="s">
        <v>141</v>
      </c>
      <c r="F279" t="str">
        <f t="shared" si="35"/>
        <v>Y_Y</v>
      </c>
      <c r="G279" s="22">
        <v>148</v>
      </c>
      <c r="H279" t="s">
        <v>500</v>
      </c>
      <c r="I279" s="5">
        <v>44825</v>
      </c>
      <c r="J279" s="7">
        <v>0.54861111111111105</v>
      </c>
      <c r="K279" s="20">
        <v>11.5</v>
      </c>
      <c r="L279" s="20">
        <v>11.5</v>
      </c>
      <c r="M279" s="20">
        <v>16</v>
      </c>
      <c r="N279" t="s">
        <v>108</v>
      </c>
      <c r="O279" t="s">
        <v>609</v>
      </c>
      <c r="P279" s="22">
        <v>28</v>
      </c>
      <c r="Q279" t="s">
        <v>562</v>
      </c>
      <c r="R279" t="s">
        <v>567</v>
      </c>
      <c r="S279" s="56" t="s">
        <v>567</v>
      </c>
      <c r="T279">
        <f t="shared" si="30"/>
        <v>9</v>
      </c>
      <c r="U279" s="5">
        <v>44834</v>
      </c>
      <c r="V279" s="7">
        <v>0.57361111111111118</v>
      </c>
      <c r="W279" s="5">
        <v>44839</v>
      </c>
      <c r="X279" s="7">
        <v>0.55763888888888891</v>
      </c>
      <c r="Y279" s="22">
        <f t="shared" si="34"/>
        <v>5</v>
      </c>
      <c r="Z279" t="s">
        <v>576</v>
      </c>
      <c r="AA279" t="s">
        <v>576</v>
      </c>
      <c r="AB279">
        <v>2</v>
      </c>
      <c r="AC279" t="s">
        <v>118</v>
      </c>
      <c r="AD279" t="s">
        <v>118</v>
      </c>
      <c r="AE279" t="s">
        <v>244</v>
      </c>
      <c r="AF279" t="s">
        <v>121</v>
      </c>
      <c r="AG279" s="20">
        <v>18</v>
      </c>
      <c r="AH279" s="20">
        <v>12</v>
      </c>
      <c r="AI279" s="20">
        <v>13</v>
      </c>
      <c r="AJ279" s="22">
        <v>60</v>
      </c>
      <c r="AK279" s="22">
        <v>0</v>
      </c>
      <c r="AL279" s="22">
        <v>60</v>
      </c>
      <c r="AM279" s="74">
        <f t="shared" si="36"/>
        <v>0</v>
      </c>
      <c r="AN279" s="22" t="s">
        <v>245</v>
      </c>
      <c r="AO279" s="58">
        <v>0</v>
      </c>
      <c r="AP279" t="s">
        <v>233</v>
      </c>
      <c r="AQ279" s="22" t="s">
        <v>669</v>
      </c>
      <c r="AT279" t="s">
        <v>98</v>
      </c>
      <c r="AU279" t="s">
        <v>118</v>
      </c>
      <c r="AV279" t="s">
        <v>324</v>
      </c>
      <c r="AW279" t="s">
        <v>182</v>
      </c>
      <c r="AX279" t="s">
        <v>182</v>
      </c>
      <c r="AY279" t="s">
        <v>182</v>
      </c>
      <c r="AZ279" t="s">
        <v>98</v>
      </c>
      <c r="BA279" t="s">
        <v>460</v>
      </c>
    </row>
    <row r="280" spans="1:53" x14ac:dyDescent="0.6">
      <c r="A280" s="14" t="str">
        <f t="shared" si="32"/>
        <v>N</v>
      </c>
      <c r="B280" s="14" t="str">
        <f t="shared" si="33"/>
        <v>N</v>
      </c>
      <c r="C280" s="14" t="s">
        <v>141</v>
      </c>
      <c r="D280" t="s">
        <v>141</v>
      </c>
      <c r="E280" t="s">
        <v>141</v>
      </c>
      <c r="F280" t="str">
        <f t="shared" si="35"/>
        <v>Y_Y</v>
      </c>
      <c r="G280" s="22">
        <v>149</v>
      </c>
      <c r="H280" t="s">
        <v>559</v>
      </c>
      <c r="I280" s="5">
        <v>44825</v>
      </c>
      <c r="J280" s="7">
        <v>0.54861111111111105</v>
      </c>
      <c r="K280" s="20">
        <v>13</v>
      </c>
      <c r="L280" s="20">
        <v>12.5</v>
      </c>
      <c r="M280" s="20">
        <v>22</v>
      </c>
      <c r="N280" t="s">
        <v>108</v>
      </c>
      <c r="O280" t="s">
        <v>189</v>
      </c>
      <c r="P280" s="22">
        <v>28</v>
      </c>
      <c r="Q280" t="s">
        <v>611</v>
      </c>
      <c r="R280" t="s">
        <v>615</v>
      </c>
      <c r="S280" t="s">
        <v>63</v>
      </c>
      <c r="T280">
        <f t="shared" si="30"/>
        <v>9</v>
      </c>
      <c r="U280" s="5">
        <v>44834</v>
      </c>
      <c r="V280" s="7">
        <v>0.57777777777777783</v>
      </c>
      <c r="W280" s="5">
        <v>44839</v>
      </c>
      <c r="X280" s="7">
        <v>0.56111111111111112</v>
      </c>
      <c r="Y280" s="22">
        <f t="shared" si="34"/>
        <v>5</v>
      </c>
      <c r="Z280" t="s">
        <v>509</v>
      </c>
      <c r="AA280" t="s">
        <v>509</v>
      </c>
      <c r="AB280">
        <v>1</v>
      </c>
      <c r="AC280" t="s">
        <v>117</v>
      </c>
      <c r="AD280" t="s">
        <v>117</v>
      </c>
      <c r="AE280" t="s">
        <v>242</v>
      </c>
      <c r="AF280" t="s">
        <v>120</v>
      </c>
      <c r="AG280" s="20">
        <v>16</v>
      </c>
      <c r="AH280" s="20">
        <v>8</v>
      </c>
      <c r="AI280" s="20">
        <v>8</v>
      </c>
      <c r="AJ280" s="22">
        <v>15</v>
      </c>
      <c r="AK280" s="22">
        <v>0</v>
      </c>
      <c r="AL280" s="22">
        <v>15</v>
      </c>
      <c r="AM280" s="74">
        <f t="shared" si="36"/>
        <v>0</v>
      </c>
      <c r="AN280" s="22" t="s">
        <v>245</v>
      </c>
      <c r="AO280" s="58">
        <v>0</v>
      </c>
      <c r="AP280" t="s">
        <v>233</v>
      </c>
      <c r="AQ280" s="22" t="s">
        <v>667</v>
      </c>
      <c r="AR280" t="s">
        <v>98</v>
      </c>
      <c r="AT280" t="s">
        <v>117</v>
      </c>
      <c r="AV280" t="s">
        <v>325</v>
      </c>
      <c r="AW280" t="s">
        <v>182</v>
      </c>
      <c r="AX280" t="s">
        <v>182</v>
      </c>
      <c r="AY280" t="s">
        <v>182</v>
      </c>
      <c r="AZ280" t="s">
        <v>98</v>
      </c>
      <c r="BA280" t="s">
        <v>141</v>
      </c>
    </row>
    <row r="281" spans="1:53" x14ac:dyDescent="0.6">
      <c r="A281" s="14" t="str">
        <f t="shared" si="32"/>
        <v>N</v>
      </c>
      <c r="B281" s="14" t="str">
        <f t="shared" si="33"/>
        <v>N</v>
      </c>
      <c r="C281" s="14" t="s">
        <v>141</v>
      </c>
      <c r="D281" t="s">
        <v>141</v>
      </c>
      <c r="E281" t="s">
        <v>141</v>
      </c>
      <c r="F281" t="str">
        <f t="shared" si="35"/>
        <v>Y_Y</v>
      </c>
      <c r="G281" s="22">
        <v>149</v>
      </c>
      <c r="H281" t="s">
        <v>559</v>
      </c>
      <c r="I281" s="5">
        <v>44825</v>
      </c>
      <c r="J281" s="7">
        <v>0.54861111111111105</v>
      </c>
      <c r="K281" s="20">
        <v>13</v>
      </c>
      <c r="L281" s="20">
        <v>12.5</v>
      </c>
      <c r="M281" s="20">
        <v>22</v>
      </c>
      <c r="N281" t="s">
        <v>108</v>
      </c>
      <c r="O281" t="s">
        <v>189</v>
      </c>
      <c r="P281" s="22">
        <v>28</v>
      </c>
      <c r="Q281" t="s">
        <v>611</v>
      </c>
      <c r="R281" t="s">
        <v>615</v>
      </c>
      <c r="S281" t="s">
        <v>63</v>
      </c>
      <c r="T281">
        <f t="shared" si="30"/>
        <v>9</v>
      </c>
      <c r="U281" s="5">
        <v>44834</v>
      </c>
      <c r="V281" s="7">
        <v>0.57777777777777783</v>
      </c>
      <c r="W281" s="5">
        <v>44839</v>
      </c>
      <c r="X281" s="7">
        <v>0.56111111111111112</v>
      </c>
      <c r="Y281" s="22">
        <f t="shared" si="34"/>
        <v>5</v>
      </c>
      <c r="Z281" t="s">
        <v>509</v>
      </c>
      <c r="AA281" t="s">
        <v>509</v>
      </c>
      <c r="AB281">
        <v>2</v>
      </c>
      <c r="AC281" t="s">
        <v>98</v>
      </c>
      <c r="AD281" t="s">
        <v>98</v>
      </c>
      <c r="AE281" t="s">
        <v>244</v>
      </c>
      <c r="AF281" t="s">
        <v>97</v>
      </c>
      <c r="AG281" s="20">
        <v>9</v>
      </c>
      <c r="AH281" s="20">
        <v>6</v>
      </c>
      <c r="AI281" s="20">
        <v>3</v>
      </c>
      <c r="AJ281" s="22">
        <v>90</v>
      </c>
      <c r="AK281" s="22">
        <v>0</v>
      </c>
      <c r="AL281" s="22">
        <v>0</v>
      </c>
      <c r="AM281" s="74">
        <f t="shared" si="36"/>
        <v>100</v>
      </c>
      <c r="AN281" s="22" t="s">
        <v>246</v>
      </c>
      <c r="AO281" s="58">
        <v>2</v>
      </c>
      <c r="AP281" t="s">
        <v>234</v>
      </c>
      <c r="AQ281" s="22" t="s">
        <v>667</v>
      </c>
      <c r="AR281" t="s">
        <v>98</v>
      </c>
      <c r="AT281" t="s">
        <v>117</v>
      </c>
      <c r="AV281" t="s">
        <v>325</v>
      </c>
      <c r="AW281" t="s">
        <v>448</v>
      </c>
      <c r="AX281" t="s">
        <v>601</v>
      </c>
      <c r="AY281" t="s">
        <v>622</v>
      </c>
      <c r="AZ281" t="s">
        <v>98</v>
      </c>
      <c r="BA281" t="s">
        <v>141</v>
      </c>
    </row>
    <row r="282" spans="1:53" x14ac:dyDescent="0.6">
      <c r="A282" s="14" t="str">
        <f t="shared" si="32"/>
        <v>N</v>
      </c>
      <c r="B282" s="14" t="str">
        <f t="shared" si="33"/>
        <v>N</v>
      </c>
      <c r="C282" s="14" t="s">
        <v>141</v>
      </c>
      <c r="D282" t="s">
        <v>63</v>
      </c>
      <c r="E282" t="s">
        <v>63</v>
      </c>
      <c r="F282" t="str">
        <f t="shared" si="35"/>
        <v>N_N</v>
      </c>
      <c r="G282" s="22">
        <v>150</v>
      </c>
      <c r="H282" t="s">
        <v>558</v>
      </c>
      <c r="I282" s="5">
        <v>44825</v>
      </c>
      <c r="J282" s="7">
        <v>0.54861111111111105</v>
      </c>
      <c r="K282" s="20">
        <v>12</v>
      </c>
      <c r="L282" s="20">
        <v>13</v>
      </c>
      <c r="M282" s="20">
        <v>20</v>
      </c>
      <c r="N282" t="s">
        <v>108</v>
      </c>
      <c r="O282" t="s">
        <v>188</v>
      </c>
      <c r="P282" s="22">
        <v>29</v>
      </c>
      <c r="Q282" t="s">
        <v>612</v>
      </c>
      <c r="R282" t="s">
        <v>400</v>
      </c>
      <c r="S282" s="56" t="s">
        <v>400</v>
      </c>
      <c r="T282">
        <f t="shared" si="30"/>
        <v>9</v>
      </c>
      <c r="U282" s="5">
        <v>44834</v>
      </c>
      <c r="V282" s="7">
        <v>0.58611111111111114</v>
      </c>
      <c r="W282" s="5">
        <v>44839</v>
      </c>
      <c r="X282" s="7">
        <v>0.56458333333333333</v>
      </c>
      <c r="Y282" s="22">
        <f t="shared" si="34"/>
        <v>5</v>
      </c>
      <c r="Z282" t="s">
        <v>616</v>
      </c>
      <c r="AA282" t="s">
        <v>616</v>
      </c>
      <c r="AB282">
        <v>1</v>
      </c>
      <c r="AC282" t="s">
        <v>46</v>
      </c>
      <c r="AD282" t="s">
        <v>352</v>
      </c>
      <c r="AE282" t="s">
        <v>242</v>
      </c>
      <c r="AF282" t="s">
        <v>47</v>
      </c>
      <c r="AG282" s="20">
        <v>9</v>
      </c>
      <c r="AH282" s="20">
        <v>8</v>
      </c>
      <c r="AI282" s="20">
        <v>4</v>
      </c>
      <c r="AJ282" s="22">
        <v>40</v>
      </c>
      <c r="AK282" s="22">
        <v>0</v>
      </c>
      <c r="AL282" s="22">
        <v>30</v>
      </c>
      <c r="AM282" s="74">
        <f t="shared" si="36"/>
        <v>25</v>
      </c>
      <c r="AN282" s="22" t="s">
        <v>246</v>
      </c>
      <c r="AO282" s="58">
        <v>2</v>
      </c>
      <c r="AP282" t="s">
        <v>234</v>
      </c>
      <c r="AQ282" s="22" t="s">
        <v>668</v>
      </c>
      <c r="AR282" t="s">
        <v>46</v>
      </c>
      <c r="AS282" t="s">
        <v>98</v>
      </c>
      <c r="AV282" t="s">
        <v>141</v>
      </c>
      <c r="AW282" t="s">
        <v>621</v>
      </c>
      <c r="AX282" t="s">
        <v>182</v>
      </c>
      <c r="AY282" t="s">
        <v>182</v>
      </c>
      <c r="AZ282" t="s">
        <v>458</v>
      </c>
      <c r="BA282" t="s">
        <v>458</v>
      </c>
    </row>
    <row r="283" spans="1:53" x14ac:dyDescent="0.6">
      <c r="A283" s="14" t="str">
        <f t="shared" si="32"/>
        <v>N</v>
      </c>
      <c r="B283" s="14" t="str">
        <f t="shared" si="33"/>
        <v>N</v>
      </c>
      <c r="C283" s="14" t="s">
        <v>141</v>
      </c>
      <c r="D283" t="s">
        <v>63</v>
      </c>
      <c r="E283" t="s">
        <v>141</v>
      </c>
      <c r="F283" t="str">
        <f t="shared" si="35"/>
        <v>N_Y</v>
      </c>
      <c r="G283" s="22">
        <v>150</v>
      </c>
      <c r="H283" t="s">
        <v>558</v>
      </c>
      <c r="I283" s="5">
        <v>44825</v>
      </c>
      <c r="J283" s="7">
        <v>0.54861111111111105</v>
      </c>
      <c r="K283" s="20">
        <v>12</v>
      </c>
      <c r="L283" s="20">
        <v>13</v>
      </c>
      <c r="M283" s="20">
        <v>20</v>
      </c>
      <c r="N283" t="s">
        <v>108</v>
      </c>
      <c r="O283" t="s">
        <v>188</v>
      </c>
      <c r="P283" s="22">
        <v>29</v>
      </c>
      <c r="Q283" t="s">
        <v>612</v>
      </c>
      <c r="R283" t="s">
        <v>400</v>
      </c>
      <c r="S283" s="56" t="s">
        <v>400</v>
      </c>
      <c r="T283">
        <f t="shared" si="30"/>
        <v>9</v>
      </c>
      <c r="U283" s="5">
        <v>44834</v>
      </c>
      <c r="V283" s="7">
        <v>0.58611111111111114</v>
      </c>
      <c r="W283" s="5">
        <v>44839</v>
      </c>
      <c r="X283" s="7">
        <v>0.56458333333333333</v>
      </c>
      <c r="Y283" s="22">
        <f t="shared" si="34"/>
        <v>5</v>
      </c>
      <c r="Z283" t="s">
        <v>616</v>
      </c>
      <c r="AA283" t="s">
        <v>616</v>
      </c>
      <c r="AB283">
        <v>2</v>
      </c>
      <c r="AC283" t="s">
        <v>98</v>
      </c>
      <c r="AD283" t="s">
        <v>98</v>
      </c>
      <c r="AE283" t="s">
        <v>244</v>
      </c>
      <c r="AF283" t="s">
        <v>97</v>
      </c>
      <c r="AG283" s="20">
        <v>12</v>
      </c>
      <c r="AH283" s="20">
        <v>8</v>
      </c>
      <c r="AI283" s="20">
        <v>2.5</v>
      </c>
      <c r="AJ283" s="22">
        <v>90</v>
      </c>
      <c r="AK283" s="22">
        <v>0</v>
      </c>
      <c r="AL283" s="22">
        <v>0</v>
      </c>
      <c r="AM283" s="74">
        <f t="shared" si="36"/>
        <v>100</v>
      </c>
      <c r="AN283" s="22" t="s">
        <v>247</v>
      </c>
      <c r="AO283" s="58">
        <v>1</v>
      </c>
      <c r="AP283" t="s">
        <v>234</v>
      </c>
      <c r="AQ283" s="22" t="s">
        <v>668</v>
      </c>
      <c r="AR283" t="s">
        <v>46</v>
      </c>
      <c r="AS283" t="s">
        <v>98</v>
      </c>
      <c r="AV283" t="s">
        <v>141</v>
      </c>
      <c r="AW283" t="s">
        <v>448</v>
      </c>
      <c r="AX283" t="s">
        <v>601</v>
      </c>
      <c r="AY283" s="1" t="s">
        <v>623</v>
      </c>
      <c r="AZ283" t="s">
        <v>458</v>
      </c>
      <c r="BA283" t="s">
        <v>458</v>
      </c>
    </row>
    <row r="284" spans="1:53" x14ac:dyDescent="0.6">
      <c r="A284" s="14" t="str">
        <f t="shared" si="32"/>
        <v>Y</v>
      </c>
      <c r="B284" s="14" t="str">
        <f t="shared" si="33"/>
        <v>Y</v>
      </c>
      <c r="C284" s="14" t="s">
        <v>141</v>
      </c>
      <c r="D284" t="s">
        <v>63</v>
      </c>
      <c r="E284" t="s">
        <v>141</v>
      </c>
      <c r="F284" t="str">
        <f t="shared" si="35"/>
        <v>N_Y</v>
      </c>
      <c r="G284" s="22">
        <v>151</v>
      </c>
      <c r="H284" t="s">
        <v>560</v>
      </c>
      <c r="I284" s="5">
        <v>44839</v>
      </c>
      <c r="J284" s="7">
        <v>0.65277777777777779</v>
      </c>
      <c r="K284" s="20">
        <v>11.5</v>
      </c>
      <c r="L284" s="20">
        <v>11</v>
      </c>
      <c r="M284" s="20">
        <v>17</v>
      </c>
      <c r="N284" t="s">
        <v>71</v>
      </c>
      <c r="O284" t="s">
        <v>210</v>
      </c>
      <c r="P284" s="22">
        <v>38</v>
      </c>
      <c r="Q284" t="s">
        <v>79</v>
      </c>
      <c r="R284" t="s">
        <v>507</v>
      </c>
      <c r="S284" s="56" t="s">
        <v>507</v>
      </c>
      <c r="T284">
        <f t="shared" si="30"/>
        <v>7</v>
      </c>
      <c r="U284" s="5">
        <v>44846</v>
      </c>
      <c r="V284" s="7">
        <v>0.59027777777777779</v>
      </c>
      <c r="W284" s="5">
        <v>44853</v>
      </c>
      <c r="X284" s="7">
        <v>0.55555555555555558</v>
      </c>
      <c r="Y284" s="22">
        <f t="shared" si="34"/>
        <v>7</v>
      </c>
      <c r="Z284" t="s">
        <v>616</v>
      </c>
      <c r="AA284" t="s">
        <v>616</v>
      </c>
      <c r="AB284">
        <v>1</v>
      </c>
      <c r="AC284" t="s">
        <v>46</v>
      </c>
      <c r="AD284" t="s">
        <v>352</v>
      </c>
      <c r="AE284" t="s">
        <v>242</v>
      </c>
      <c r="AF284" t="s">
        <v>47</v>
      </c>
      <c r="AG284" s="20">
        <v>13</v>
      </c>
      <c r="AH284" s="20">
        <v>11</v>
      </c>
      <c r="AI284" s="20">
        <v>14</v>
      </c>
      <c r="AJ284" s="22">
        <v>75</v>
      </c>
      <c r="AK284" s="22">
        <v>0</v>
      </c>
      <c r="AL284" s="22">
        <v>75</v>
      </c>
      <c r="AM284" s="74">
        <f t="shared" si="36"/>
        <v>0</v>
      </c>
      <c r="AN284" s="22" t="s">
        <v>245</v>
      </c>
      <c r="AO284" s="58">
        <v>0</v>
      </c>
      <c r="AP284" t="s">
        <v>233</v>
      </c>
      <c r="AQ284" s="22" t="s">
        <v>669</v>
      </c>
      <c r="AT284" t="s">
        <v>46</v>
      </c>
      <c r="AU284" t="s">
        <v>98</v>
      </c>
      <c r="AV284" t="s">
        <v>324</v>
      </c>
      <c r="AW284" t="s">
        <v>182</v>
      </c>
      <c r="AX284" t="s">
        <v>182</v>
      </c>
      <c r="AY284" t="s">
        <v>182</v>
      </c>
      <c r="AZ284" t="s">
        <v>458</v>
      </c>
      <c r="BA284" t="s">
        <v>458</v>
      </c>
    </row>
    <row r="285" spans="1:53" x14ac:dyDescent="0.6">
      <c r="A285" s="14" t="str">
        <f t="shared" si="32"/>
        <v>Y</v>
      </c>
      <c r="B285" s="14" t="str">
        <f t="shared" si="33"/>
        <v>Y</v>
      </c>
      <c r="C285" s="14" t="s">
        <v>141</v>
      </c>
      <c r="D285" t="s">
        <v>63</v>
      </c>
      <c r="E285" t="s">
        <v>141</v>
      </c>
      <c r="F285" t="str">
        <f t="shared" si="35"/>
        <v>N_Y</v>
      </c>
      <c r="G285" s="22">
        <v>151</v>
      </c>
      <c r="H285" t="s">
        <v>560</v>
      </c>
      <c r="I285" s="5">
        <v>44839</v>
      </c>
      <c r="J285" s="7">
        <v>0.65277777777777779</v>
      </c>
      <c r="K285" s="20">
        <v>11.5</v>
      </c>
      <c r="L285" s="20">
        <v>11</v>
      </c>
      <c r="M285" s="20">
        <v>17</v>
      </c>
      <c r="N285" t="s">
        <v>71</v>
      </c>
      <c r="O285" t="s">
        <v>210</v>
      </c>
      <c r="P285" s="22">
        <v>38</v>
      </c>
      <c r="Q285" t="s">
        <v>79</v>
      </c>
      <c r="R285" t="s">
        <v>507</v>
      </c>
      <c r="S285" s="56" t="s">
        <v>507</v>
      </c>
      <c r="T285">
        <f t="shared" ref="T285:T286" si="37">DATEDIF(I285,U285,"d")</f>
        <v>7</v>
      </c>
      <c r="U285" s="5">
        <v>44846</v>
      </c>
      <c r="V285" s="7">
        <v>0.59027777777777779</v>
      </c>
      <c r="W285" s="5">
        <v>44853</v>
      </c>
      <c r="X285" s="7">
        <v>0.55555555555555558</v>
      </c>
      <c r="Y285" s="22">
        <f t="shared" si="34"/>
        <v>7</v>
      </c>
      <c r="Z285" t="s">
        <v>616</v>
      </c>
      <c r="AA285" t="s">
        <v>616</v>
      </c>
      <c r="AB285">
        <v>2</v>
      </c>
      <c r="AC285" t="s">
        <v>98</v>
      </c>
      <c r="AD285" t="s">
        <v>98</v>
      </c>
      <c r="AE285" t="s">
        <v>244</v>
      </c>
      <c r="AF285" t="s">
        <v>97</v>
      </c>
      <c r="AG285" s="20">
        <v>14.5</v>
      </c>
      <c r="AH285" s="20">
        <v>11</v>
      </c>
      <c r="AI285" s="20">
        <v>4</v>
      </c>
      <c r="AJ285" s="22">
        <v>90</v>
      </c>
      <c r="AK285" s="22">
        <v>0</v>
      </c>
      <c r="AL285" s="22">
        <v>90</v>
      </c>
      <c r="AM285" s="74">
        <f t="shared" si="36"/>
        <v>0</v>
      </c>
      <c r="AN285" s="22" t="s">
        <v>245</v>
      </c>
      <c r="AO285" s="58">
        <v>0</v>
      </c>
      <c r="AP285" t="s">
        <v>233</v>
      </c>
      <c r="AQ285" s="22" t="s">
        <v>669</v>
      </c>
      <c r="AT285" t="s">
        <v>46</v>
      </c>
      <c r="AU285" t="s">
        <v>98</v>
      </c>
      <c r="AV285" t="s">
        <v>324</v>
      </c>
      <c r="AW285" t="s">
        <v>182</v>
      </c>
      <c r="AX285" t="s">
        <v>182</v>
      </c>
      <c r="AY285" t="s">
        <v>182</v>
      </c>
      <c r="AZ285" t="s">
        <v>458</v>
      </c>
      <c r="BA285" t="s">
        <v>458</v>
      </c>
    </row>
    <row r="286" spans="1:53" x14ac:dyDescent="0.6">
      <c r="A286" s="14" t="str">
        <f t="shared" si="32"/>
        <v>Y</v>
      </c>
      <c r="B286" s="14" t="str">
        <f t="shared" si="33"/>
        <v>Y</v>
      </c>
      <c r="C286" s="14" t="s">
        <v>141</v>
      </c>
      <c r="D286" t="s">
        <v>63</v>
      </c>
      <c r="E286" t="s">
        <v>141</v>
      </c>
      <c r="F286" t="str">
        <f t="shared" si="35"/>
        <v>N_Y</v>
      </c>
      <c r="G286" s="22">
        <v>152</v>
      </c>
      <c r="H286" t="s">
        <v>499</v>
      </c>
      <c r="I286" s="5">
        <v>44839</v>
      </c>
      <c r="J286" s="7">
        <v>0.65277777777777779</v>
      </c>
      <c r="K286" s="20">
        <v>12.5</v>
      </c>
      <c r="L286" s="20">
        <v>12</v>
      </c>
      <c r="M286" s="20">
        <v>19</v>
      </c>
      <c r="N286" t="s">
        <v>71</v>
      </c>
      <c r="O286" t="s">
        <v>625</v>
      </c>
      <c r="P286" s="22">
        <v>44</v>
      </c>
      <c r="Q286" t="s">
        <v>162</v>
      </c>
      <c r="R286" t="s">
        <v>573</v>
      </c>
      <c r="S286" s="56" t="s">
        <v>573</v>
      </c>
      <c r="T286">
        <f t="shared" si="37"/>
        <v>7</v>
      </c>
      <c r="U286" s="5">
        <v>44846</v>
      </c>
      <c r="V286" s="7">
        <v>0.58750000000000002</v>
      </c>
      <c r="W286" s="5">
        <v>44853</v>
      </c>
      <c r="X286" s="7">
        <v>0.55763888888888891</v>
      </c>
      <c r="Y286" s="22">
        <f t="shared" si="34"/>
        <v>7</v>
      </c>
      <c r="Z286" t="s">
        <v>509</v>
      </c>
      <c r="AA286" t="s">
        <v>509</v>
      </c>
      <c r="AB286">
        <v>1</v>
      </c>
      <c r="AC286" t="s">
        <v>117</v>
      </c>
      <c r="AD286" t="s">
        <v>117</v>
      </c>
      <c r="AE286" t="s">
        <v>242</v>
      </c>
      <c r="AF286" t="s">
        <v>120</v>
      </c>
      <c r="AG286" s="20">
        <v>16</v>
      </c>
      <c r="AH286" s="20">
        <v>13</v>
      </c>
      <c r="AI286" s="20">
        <v>5</v>
      </c>
      <c r="AJ286" s="22">
        <v>40</v>
      </c>
      <c r="AK286" s="22">
        <v>0</v>
      </c>
      <c r="AL286" s="22">
        <v>5</v>
      </c>
      <c r="AM286" s="74">
        <f t="shared" si="36"/>
        <v>87.5</v>
      </c>
      <c r="AN286" s="22" t="s">
        <v>246</v>
      </c>
      <c r="AO286" s="58">
        <v>2</v>
      </c>
      <c r="AP286" t="s">
        <v>234</v>
      </c>
      <c r="AQ286" s="22" t="s">
        <v>668</v>
      </c>
      <c r="AR286" t="s">
        <v>117</v>
      </c>
      <c r="AS286" t="s">
        <v>98</v>
      </c>
      <c r="AV286" t="s">
        <v>141</v>
      </c>
      <c r="AW286" t="s">
        <v>636</v>
      </c>
      <c r="AX286" s="51" t="s">
        <v>182</v>
      </c>
      <c r="AY286" s="51" t="s">
        <v>182</v>
      </c>
      <c r="AZ286" t="s">
        <v>458</v>
      </c>
      <c r="BA286" t="s">
        <v>458</v>
      </c>
    </row>
    <row r="287" spans="1:53" x14ac:dyDescent="0.6">
      <c r="A287" s="14" t="str">
        <f t="shared" si="32"/>
        <v>Y</v>
      </c>
      <c r="B287" s="14" t="str">
        <f t="shared" si="33"/>
        <v>Y</v>
      </c>
      <c r="C287" s="14" t="s">
        <v>141</v>
      </c>
      <c r="D287" t="s">
        <v>63</v>
      </c>
      <c r="E287" t="s">
        <v>141</v>
      </c>
      <c r="F287" t="str">
        <f t="shared" si="35"/>
        <v>N_Y</v>
      </c>
      <c r="G287" s="22">
        <v>152</v>
      </c>
      <c r="H287" t="s">
        <v>499</v>
      </c>
      <c r="I287" s="5">
        <v>44839</v>
      </c>
      <c r="J287" s="7">
        <v>0.65277777777777779</v>
      </c>
      <c r="K287" s="20">
        <v>12.5</v>
      </c>
      <c r="L287" s="20">
        <v>12</v>
      </c>
      <c r="M287" s="20">
        <v>19</v>
      </c>
      <c r="N287" t="s">
        <v>71</v>
      </c>
      <c r="O287" t="s">
        <v>625</v>
      </c>
      <c r="P287" s="22">
        <v>44</v>
      </c>
      <c r="Q287" t="s">
        <v>162</v>
      </c>
      <c r="R287" t="s">
        <v>573</v>
      </c>
      <c r="S287" s="56" t="s">
        <v>573</v>
      </c>
      <c r="T287">
        <f t="shared" ref="T287:T288" si="38">DATEDIF(I287,U287,"d")</f>
        <v>7</v>
      </c>
      <c r="U287" s="5">
        <v>44846</v>
      </c>
      <c r="V287" s="7">
        <v>0.58750000000000002</v>
      </c>
      <c r="W287" s="5">
        <v>44853</v>
      </c>
      <c r="X287" s="7">
        <v>0.55763888888888891</v>
      </c>
      <c r="Y287" s="22">
        <f t="shared" si="34"/>
        <v>7</v>
      </c>
      <c r="Z287" t="s">
        <v>509</v>
      </c>
      <c r="AA287" t="s">
        <v>509</v>
      </c>
      <c r="AB287">
        <v>2</v>
      </c>
      <c r="AC287" t="s">
        <v>98</v>
      </c>
      <c r="AD287" t="s">
        <v>98</v>
      </c>
      <c r="AE287" t="s">
        <v>244</v>
      </c>
      <c r="AF287" t="s">
        <v>97</v>
      </c>
      <c r="AG287" s="20">
        <v>10</v>
      </c>
      <c r="AH287" s="20">
        <v>8.5</v>
      </c>
      <c r="AI287" s="20">
        <v>2.5</v>
      </c>
      <c r="AJ287" s="22">
        <v>95</v>
      </c>
      <c r="AK287" s="22">
        <v>0</v>
      </c>
      <c r="AL287" s="22">
        <v>5</v>
      </c>
      <c r="AM287" s="74">
        <f t="shared" si="36"/>
        <v>94.73684210526315</v>
      </c>
      <c r="AN287" s="22" t="s">
        <v>247</v>
      </c>
      <c r="AO287" s="58">
        <v>1</v>
      </c>
      <c r="AP287" t="s">
        <v>234</v>
      </c>
      <c r="AQ287" s="22" t="s">
        <v>668</v>
      </c>
      <c r="AR287" t="s">
        <v>117</v>
      </c>
      <c r="AS287" t="s">
        <v>98</v>
      </c>
      <c r="AV287" t="s">
        <v>141</v>
      </c>
      <c r="AW287" t="s">
        <v>448</v>
      </c>
      <c r="AX287" t="s">
        <v>548</v>
      </c>
      <c r="AY287" t="s">
        <v>637</v>
      </c>
      <c r="AZ287" t="s">
        <v>458</v>
      </c>
      <c r="BA287" t="s">
        <v>458</v>
      </c>
    </row>
    <row r="288" spans="1:53" x14ac:dyDescent="0.6">
      <c r="A288" s="14" t="str">
        <f t="shared" si="32"/>
        <v>Y</v>
      </c>
      <c r="B288" s="14" t="str">
        <f t="shared" si="33"/>
        <v>Y</v>
      </c>
      <c r="C288" s="14" t="s">
        <v>141</v>
      </c>
      <c r="D288" t="s">
        <v>63</v>
      </c>
      <c r="E288" t="s">
        <v>141</v>
      </c>
      <c r="F288" t="str">
        <f t="shared" si="35"/>
        <v>N_Y</v>
      </c>
      <c r="G288" s="22">
        <v>153</v>
      </c>
      <c r="H288" t="s">
        <v>500</v>
      </c>
      <c r="I288" s="5">
        <v>44839</v>
      </c>
      <c r="J288" s="7">
        <v>0.65277777777777779</v>
      </c>
      <c r="K288" s="20">
        <v>12</v>
      </c>
      <c r="L288" s="20">
        <v>12</v>
      </c>
      <c r="M288" s="20">
        <v>19</v>
      </c>
      <c r="N288" t="s">
        <v>71</v>
      </c>
      <c r="O288" t="s">
        <v>625</v>
      </c>
      <c r="P288" s="22">
        <v>43</v>
      </c>
      <c r="Q288" t="s">
        <v>42</v>
      </c>
      <c r="R288" t="s">
        <v>212</v>
      </c>
      <c r="S288" s="56" t="s">
        <v>212</v>
      </c>
      <c r="T288">
        <f t="shared" si="38"/>
        <v>7</v>
      </c>
      <c r="U288" s="5">
        <v>44846</v>
      </c>
      <c r="V288" s="7">
        <v>0.58124999999999993</v>
      </c>
      <c r="W288" s="5">
        <v>44853</v>
      </c>
      <c r="X288" s="7">
        <v>0.56041666666666667</v>
      </c>
      <c r="Y288" s="22">
        <f t="shared" si="34"/>
        <v>7</v>
      </c>
      <c r="Z288" t="s">
        <v>576</v>
      </c>
      <c r="AA288" t="s">
        <v>576</v>
      </c>
      <c r="AB288">
        <v>1</v>
      </c>
      <c r="AC288" t="s">
        <v>98</v>
      </c>
      <c r="AD288" t="s">
        <v>98</v>
      </c>
      <c r="AE288" t="s">
        <v>242</v>
      </c>
      <c r="AF288" t="s">
        <v>97</v>
      </c>
      <c r="AG288" s="20">
        <v>8.5</v>
      </c>
      <c r="AH288" s="20">
        <v>6</v>
      </c>
      <c r="AI288" s="20">
        <v>2</v>
      </c>
      <c r="AJ288" s="22">
        <v>95</v>
      </c>
      <c r="AK288" s="22">
        <v>0</v>
      </c>
      <c r="AL288" s="22">
        <v>95</v>
      </c>
      <c r="AM288" s="74">
        <f t="shared" si="36"/>
        <v>0</v>
      </c>
      <c r="AN288" s="22" t="s">
        <v>245</v>
      </c>
      <c r="AO288" s="58">
        <v>0</v>
      </c>
      <c r="AP288" t="s">
        <v>233</v>
      </c>
      <c r="AQ288" s="22" t="s">
        <v>669</v>
      </c>
      <c r="AT288" t="s">
        <v>98</v>
      </c>
      <c r="AU288" t="s">
        <v>118</v>
      </c>
      <c r="AV288" t="s">
        <v>324</v>
      </c>
      <c r="AW288" t="s">
        <v>182</v>
      </c>
      <c r="AX288" t="s">
        <v>182</v>
      </c>
      <c r="AY288" t="s">
        <v>182</v>
      </c>
      <c r="AZ288" t="s">
        <v>458</v>
      </c>
      <c r="BA288" t="s">
        <v>458</v>
      </c>
    </row>
    <row r="289" spans="1:53" x14ac:dyDescent="0.6">
      <c r="A289" s="14" t="str">
        <f t="shared" si="32"/>
        <v>Y</v>
      </c>
      <c r="B289" s="14" t="str">
        <f t="shared" si="33"/>
        <v>Y</v>
      </c>
      <c r="C289" s="14" t="s">
        <v>141</v>
      </c>
      <c r="D289" t="s">
        <v>63</v>
      </c>
      <c r="E289" t="s">
        <v>141</v>
      </c>
      <c r="F289" t="str">
        <f t="shared" si="35"/>
        <v>N_Y</v>
      </c>
      <c r="G289" s="22">
        <v>153</v>
      </c>
      <c r="H289" t="s">
        <v>500</v>
      </c>
      <c r="I289" s="5">
        <v>44839</v>
      </c>
      <c r="J289" s="7">
        <v>0.65277777777777779</v>
      </c>
      <c r="K289" s="20">
        <v>12</v>
      </c>
      <c r="L289" s="20">
        <v>12</v>
      </c>
      <c r="M289" s="20">
        <v>19</v>
      </c>
      <c r="N289" t="s">
        <v>71</v>
      </c>
      <c r="O289" t="s">
        <v>625</v>
      </c>
      <c r="P289" s="22">
        <v>43</v>
      </c>
      <c r="Q289" t="s">
        <v>42</v>
      </c>
      <c r="R289" t="s">
        <v>212</v>
      </c>
      <c r="S289" s="56" t="s">
        <v>212</v>
      </c>
      <c r="T289">
        <f t="shared" ref="T289:T290" si="39">DATEDIF(I289,U289,"d")</f>
        <v>7</v>
      </c>
      <c r="U289" s="5">
        <v>44846</v>
      </c>
      <c r="V289" s="7">
        <v>0.58124999999999993</v>
      </c>
      <c r="W289" s="5">
        <v>44853</v>
      </c>
      <c r="X289" s="7">
        <v>0.56041666666666667</v>
      </c>
      <c r="Y289" s="22">
        <f t="shared" si="34"/>
        <v>7</v>
      </c>
      <c r="Z289" t="s">
        <v>576</v>
      </c>
      <c r="AA289" t="s">
        <v>576</v>
      </c>
      <c r="AB289">
        <v>2</v>
      </c>
      <c r="AC289" t="s">
        <v>118</v>
      </c>
      <c r="AD289" t="s">
        <v>118</v>
      </c>
      <c r="AE289" t="s">
        <v>244</v>
      </c>
      <c r="AF289" t="s">
        <v>121</v>
      </c>
      <c r="AG289" s="20">
        <v>10</v>
      </c>
      <c r="AH289" s="20">
        <v>10</v>
      </c>
      <c r="AI289" s="20">
        <v>9.5</v>
      </c>
      <c r="AJ289" s="22">
        <v>80</v>
      </c>
      <c r="AK289" s="22">
        <v>0</v>
      </c>
      <c r="AL289" s="22">
        <v>80</v>
      </c>
      <c r="AM289" s="74">
        <f t="shared" si="36"/>
        <v>0</v>
      </c>
      <c r="AN289" s="22" t="s">
        <v>245</v>
      </c>
      <c r="AO289" s="58">
        <v>0</v>
      </c>
      <c r="AP289" t="s">
        <v>233</v>
      </c>
      <c r="AQ289" s="22" t="s">
        <v>669</v>
      </c>
      <c r="AT289" t="s">
        <v>98</v>
      </c>
      <c r="AU289" t="s">
        <v>118</v>
      </c>
      <c r="AV289" t="s">
        <v>324</v>
      </c>
      <c r="AW289" t="s">
        <v>182</v>
      </c>
      <c r="AX289" t="s">
        <v>182</v>
      </c>
      <c r="AY289" t="s">
        <v>182</v>
      </c>
      <c r="AZ289" t="s">
        <v>458</v>
      </c>
      <c r="BA289" t="s">
        <v>458</v>
      </c>
    </row>
    <row r="290" spans="1:53" x14ac:dyDescent="0.6">
      <c r="A290" s="14" t="str">
        <f t="shared" si="32"/>
        <v>Y</v>
      </c>
      <c r="B290" s="14" t="str">
        <f t="shared" si="33"/>
        <v>Y</v>
      </c>
      <c r="C290" s="14" t="s">
        <v>141</v>
      </c>
      <c r="D290" t="s">
        <v>63</v>
      </c>
      <c r="E290" t="s">
        <v>141</v>
      </c>
      <c r="F290" t="str">
        <f t="shared" si="35"/>
        <v>N_Y</v>
      </c>
      <c r="G290" s="22">
        <v>154</v>
      </c>
      <c r="H290" t="s">
        <v>559</v>
      </c>
      <c r="I290" s="5">
        <v>44839</v>
      </c>
      <c r="J290" s="7">
        <v>0.65277777777777779</v>
      </c>
      <c r="K290" s="20">
        <v>11</v>
      </c>
      <c r="L290" s="20">
        <v>12</v>
      </c>
      <c r="M290" s="20">
        <v>17</v>
      </c>
      <c r="N290" t="s">
        <v>71</v>
      </c>
      <c r="O290" t="s">
        <v>626</v>
      </c>
      <c r="P290" s="22">
        <v>40</v>
      </c>
      <c r="Q290" t="s">
        <v>56</v>
      </c>
      <c r="R290" t="s">
        <v>627</v>
      </c>
      <c r="S290" t="s">
        <v>63</v>
      </c>
      <c r="T290">
        <f t="shared" si="39"/>
        <v>7</v>
      </c>
      <c r="U290" s="5">
        <v>44846</v>
      </c>
      <c r="V290" s="7">
        <v>0.57638888888888895</v>
      </c>
      <c r="W290" s="5">
        <v>44853</v>
      </c>
      <c r="X290" s="7">
        <v>0.56319444444444444</v>
      </c>
      <c r="Y290" s="22">
        <f t="shared" si="34"/>
        <v>7</v>
      </c>
      <c r="Z290" t="s">
        <v>616</v>
      </c>
      <c r="AA290" t="s">
        <v>616</v>
      </c>
      <c r="AB290">
        <v>1</v>
      </c>
      <c r="AC290" t="s">
        <v>98</v>
      </c>
      <c r="AD290" t="s">
        <v>98</v>
      </c>
      <c r="AE290" t="s">
        <v>242</v>
      </c>
      <c r="AF290" t="s">
        <v>97</v>
      </c>
      <c r="AG290" s="20">
        <v>10</v>
      </c>
      <c r="AH290" s="20">
        <v>7</v>
      </c>
      <c r="AI290" s="20">
        <v>3</v>
      </c>
      <c r="AJ290" s="22">
        <v>100</v>
      </c>
      <c r="AK290" s="22">
        <v>0</v>
      </c>
      <c r="AL290" s="22">
        <v>0</v>
      </c>
      <c r="AM290" s="74">
        <f t="shared" si="36"/>
        <v>100</v>
      </c>
      <c r="AN290" s="22" t="s">
        <v>246</v>
      </c>
      <c r="AO290" s="58">
        <v>2</v>
      </c>
      <c r="AP290" t="s">
        <v>234</v>
      </c>
      <c r="AQ290" s="22" t="s">
        <v>668</v>
      </c>
      <c r="AR290" t="s">
        <v>98</v>
      </c>
      <c r="AS290" t="s">
        <v>46</v>
      </c>
      <c r="AV290" t="s">
        <v>141</v>
      </c>
      <c r="AW290" t="s">
        <v>448</v>
      </c>
      <c r="AX290" t="s">
        <v>548</v>
      </c>
      <c r="AY290" t="s">
        <v>639</v>
      </c>
      <c r="AZ290" t="s">
        <v>458</v>
      </c>
      <c r="BA290" t="s">
        <v>458</v>
      </c>
    </row>
    <row r="291" spans="1:53" x14ac:dyDescent="0.6">
      <c r="A291" s="14" t="str">
        <f t="shared" si="32"/>
        <v>Y</v>
      </c>
      <c r="B291" s="14" t="str">
        <f t="shared" si="33"/>
        <v>Y</v>
      </c>
      <c r="C291" s="14" t="s">
        <v>141</v>
      </c>
      <c r="D291" t="s">
        <v>63</v>
      </c>
      <c r="E291" t="s">
        <v>141</v>
      </c>
      <c r="F291" t="str">
        <f t="shared" si="35"/>
        <v>N_Y</v>
      </c>
      <c r="G291" s="22">
        <v>154</v>
      </c>
      <c r="H291" t="s">
        <v>559</v>
      </c>
      <c r="I291" s="5">
        <v>44839</v>
      </c>
      <c r="J291" s="7">
        <v>0.65277777777777779</v>
      </c>
      <c r="K291" s="20">
        <v>11</v>
      </c>
      <c r="L291" s="20">
        <v>12</v>
      </c>
      <c r="M291" s="20">
        <v>17</v>
      </c>
      <c r="N291" t="s">
        <v>71</v>
      </c>
      <c r="O291" t="s">
        <v>626</v>
      </c>
      <c r="P291" s="22">
        <v>40</v>
      </c>
      <c r="Q291" t="s">
        <v>56</v>
      </c>
      <c r="R291" t="s">
        <v>627</v>
      </c>
      <c r="S291" t="s">
        <v>63</v>
      </c>
      <c r="T291">
        <f t="shared" ref="T291:T292" si="40">DATEDIF(I291,U291,"d")</f>
        <v>7</v>
      </c>
      <c r="U291" s="5">
        <v>44846</v>
      </c>
      <c r="V291" s="7">
        <v>0.57638888888888895</v>
      </c>
      <c r="W291" s="5">
        <v>44853</v>
      </c>
      <c r="X291" s="7">
        <v>0.56319444444444444</v>
      </c>
      <c r="Y291" s="22">
        <f t="shared" si="34"/>
        <v>7</v>
      </c>
      <c r="Z291" t="s">
        <v>616</v>
      </c>
      <c r="AA291" t="s">
        <v>616</v>
      </c>
      <c r="AB291">
        <v>2</v>
      </c>
      <c r="AC291" t="s">
        <v>46</v>
      </c>
      <c r="AD291" t="s">
        <v>352</v>
      </c>
      <c r="AE291" t="s">
        <v>244</v>
      </c>
      <c r="AF291" t="s">
        <v>47</v>
      </c>
      <c r="AG291" s="20">
        <v>19</v>
      </c>
      <c r="AH291" s="20">
        <v>13</v>
      </c>
      <c r="AI291" s="20">
        <v>8</v>
      </c>
      <c r="AJ291" s="22">
        <v>35</v>
      </c>
      <c r="AK291" s="22">
        <v>0</v>
      </c>
      <c r="AL291" s="22">
        <v>10</v>
      </c>
      <c r="AM291" s="74">
        <f t="shared" si="36"/>
        <v>71.428571428571431</v>
      </c>
      <c r="AN291" s="22" t="s">
        <v>247</v>
      </c>
      <c r="AO291" s="58">
        <v>1</v>
      </c>
      <c r="AP291" t="s">
        <v>234</v>
      </c>
      <c r="AQ291" s="22" t="s">
        <v>668</v>
      </c>
      <c r="AR291" t="s">
        <v>98</v>
      </c>
      <c r="AS291" t="s">
        <v>46</v>
      </c>
      <c r="AV291" t="s">
        <v>141</v>
      </c>
      <c r="AW291" t="s">
        <v>448</v>
      </c>
      <c r="AX291" t="s">
        <v>638</v>
      </c>
      <c r="AY291" t="s">
        <v>640</v>
      </c>
      <c r="AZ291" t="s">
        <v>458</v>
      </c>
      <c r="BA291" t="s">
        <v>458</v>
      </c>
    </row>
    <row r="292" spans="1:53" x14ac:dyDescent="0.6">
      <c r="A292" s="14" t="str">
        <f t="shared" si="32"/>
        <v>Y</v>
      </c>
      <c r="B292" s="14" t="str">
        <f t="shared" si="33"/>
        <v>Y</v>
      </c>
      <c r="C292" s="14" t="s">
        <v>141</v>
      </c>
      <c r="D292" t="s">
        <v>63</v>
      </c>
      <c r="E292" t="s">
        <v>141</v>
      </c>
      <c r="F292" t="str">
        <f t="shared" si="35"/>
        <v>N_Y</v>
      </c>
      <c r="G292" s="22">
        <v>155</v>
      </c>
      <c r="H292" t="s">
        <v>558</v>
      </c>
      <c r="I292" s="5">
        <v>44839</v>
      </c>
      <c r="J292" s="7">
        <v>0.65277777777777779</v>
      </c>
      <c r="K292" s="20">
        <v>11</v>
      </c>
      <c r="L292" s="20">
        <v>11</v>
      </c>
      <c r="M292" s="20">
        <v>16</v>
      </c>
      <c r="N292" t="s">
        <v>71</v>
      </c>
      <c r="O292" t="s">
        <v>256</v>
      </c>
      <c r="P292" s="22">
        <v>37</v>
      </c>
      <c r="Q292" t="s">
        <v>628</v>
      </c>
      <c r="R292" t="s">
        <v>571</v>
      </c>
      <c r="S292" s="56" t="s">
        <v>571</v>
      </c>
      <c r="T292">
        <f t="shared" si="40"/>
        <v>7</v>
      </c>
      <c r="U292" s="5">
        <v>44846</v>
      </c>
      <c r="V292" s="7">
        <v>0.57291666666666663</v>
      </c>
      <c r="W292" s="5">
        <v>44853</v>
      </c>
      <c r="X292" s="7">
        <v>0.56597222222222221</v>
      </c>
      <c r="Y292" s="22">
        <f t="shared" si="34"/>
        <v>7</v>
      </c>
      <c r="Z292" t="s">
        <v>616</v>
      </c>
      <c r="AA292" t="s">
        <v>616</v>
      </c>
      <c r="AB292">
        <v>1</v>
      </c>
      <c r="AC292" t="s">
        <v>46</v>
      </c>
      <c r="AD292" t="s">
        <v>352</v>
      </c>
      <c r="AE292" t="s">
        <v>242</v>
      </c>
      <c r="AF292" t="s">
        <v>47</v>
      </c>
      <c r="AG292" s="20">
        <v>14</v>
      </c>
      <c r="AH292" s="20">
        <v>13</v>
      </c>
      <c r="AI292" s="20">
        <v>5</v>
      </c>
      <c r="AJ292" s="22">
        <v>25</v>
      </c>
      <c r="AK292" s="22">
        <v>0</v>
      </c>
      <c r="AL292" s="22">
        <v>25</v>
      </c>
      <c r="AM292" s="74">
        <f t="shared" si="36"/>
        <v>0</v>
      </c>
      <c r="AN292" s="22" t="s">
        <v>245</v>
      </c>
      <c r="AO292" s="58">
        <v>0</v>
      </c>
      <c r="AP292" t="s">
        <v>233</v>
      </c>
      <c r="AQ292" s="22" t="s">
        <v>667</v>
      </c>
      <c r="AR292" t="s">
        <v>98</v>
      </c>
      <c r="AT292" t="s">
        <v>46</v>
      </c>
      <c r="AV292" t="s">
        <v>325</v>
      </c>
      <c r="AW292" t="s">
        <v>182</v>
      </c>
      <c r="AX292" t="s">
        <v>182</v>
      </c>
      <c r="AY292" t="s">
        <v>182</v>
      </c>
      <c r="AZ292" t="s">
        <v>458</v>
      </c>
      <c r="BA292" t="s">
        <v>458</v>
      </c>
    </row>
    <row r="293" spans="1:53" x14ac:dyDescent="0.6">
      <c r="A293" s="14" t="str">
        <f t="shared" si="32"/>
        <v>Y</v>
      </c>
      <c r="B293" s="14" t="str">
        <f t="shared" si="33"/>
        <v>Y</v>
      </c>
      <c r="C293" s="14" t="s">
        <v>141</v>
      </c>
      <c r="D293" t="s">
        <v>63</v>
      </c>
      <c r="E293" t="s">
        <v>141</v>
      </c>
      <c r="F293" t="str">
        <f t="shared" si="35"/>
        <v>N_Y</v>
      </c>
      <c r="G293" s="22">
        <v>155</v>
      </c>
      <c r="H293" t="s">
        <v>558</v>
      </c>
      <c r="I293" s="5">
        <v>44839</v>
      </c>
      <c r="J293" s="7">
        <v>0.65277777777777779</v>
      </c>
      <c r="K293" s="20">
        <v>11</v>
      </c>
      <c r="L293" s="20">
        <v>11</v>
      </c>
      <c r="M293" s="20">
        <v>16</v>
      </c>
      <c r="N293" t="s">
        <v>71</v>
      </c>
      <c r="O293" t="s">
        <v>256</v>
      </c>
      <c r="P293" s="22">
        <v>37</v>
      </c>
      <c r="Q293" t="s">
        <v>628</v>
      </c>
      <c r="R293" t="s">
        <v>571</v>
      </c>
      <c r="S293" s="56" t="s">
        <v>571</v>
      </c>
      <c r="T293">
        <f t="shared" ref="T293:T323" si="41">DATEDIF(I293,U293,"d")</f>
        <v>7</v>
      </c>
      <c r="U293" s="5">
        <v>44846</v>
      </c>
      <c r="V293" s="7">
        <v>0.57291666666666663</v>
      </c>
      <c r="W293" s="5">
        <v>44853</v>
      </c>
      <c r="X293" s="7">
        <v>0.56597222222222221</v>
      </c>
      <c r="Y293" s="22">
        <f t="shared" si="34"/>
        <v>7</v>
      </c>
      <c r="Z293" t="s">
        <v>616</v>
      </c>
      <c r="AA293" t="s">
        <v>616</v>
      </c>
      <c r="AB293">
        <v>2</v>
      </c>
      <c r="AC293" t="s">
        <v>98</v>
      </c>
      <c r="AD293" t="s">
        <v>98</v>
      </c>
      <c r="AE293" t="s">
        <v>244</v>
      </c>
      <c r="AF293" t="s">
        <v>97</v>
      </c>
      <c r="AG293" s="20">
        <v>11</v>
      </c>
      <c r="AH293" s="20">
        <v>7.5</v>
      </c>
      <c r="AI293" s="20">
        <v>3</v>
      </c>
      <c r="AJ293" s="22">
        <v>80</v>
      </c>
      <c r="AK293" s="22">
        <v>0</v>
      </c>
      <c r="AL293" s="22">
        <v>0</v>
      </c>
      <c r="AM293" s="74">
        <f t="shared" si="36"/>
        <v>100</v>
      </c>
      <c r="AN293" s="22" t="s">
        <v>246</v>
      </c>
      <c r="AO293" s="58">
        <v>2</v>
      </c>
      <c r="AP293" t="s">
        <v>234</v>
      </c>
      <c r="AQ293" s="22" t="s">
        <v>667</v>
      </c>
      <c r="AR293" t="s">
        <v>98</v>
      </c>
      <c r="AT293" t="s">
        <v>46</v>
      </c>
      <c r="AV293" t="s">
        <v>325</v>
      </c>
      <c r="AW293" t="s">
        <v>448</v>
      </c>
      <c r="AX293" t="s">
        <v>601</v>
      </c>
      <c r="AY293" t="s">
        <v>641</v>
      </c>
      <c r="AZ293" t="s">
        <v>458</v>
      </c>
      <c r="BA293" t="s">
        <v>458</v>
      </c>
    </row>
    <row r="294" spans="1:53" x14ac:dyDescent="0.6">
      <c r="A294" s="14" t="str">
        <f t="shared" si="32"/>
        <v>Y</v>
      </c>
      <c r="B294" s="14" t="str">
        <f>IF(Y294=7, "Y", "N")</f>
        <v>Y</v>
      </c>
      <c r="C294" s="14" t="s">
        <v>141</v>
      </c>
      <c r="D294" t="s">
        <v>141</v>
      </c>
      <c r="E294" t="s">
        <v>141</v>
      </c>
      <c r="F294" t="str">
        <f t="shared" si="35"/>
        <v>Y_Y</v>
      </c>
      <c r="G294" s="22">
        <v>156</v>
      </c>
      <c r="H294" t="s">
        <v>560</v>
      </c>
      <c r="I294" s="5">
        <v>44846</v>
      </c>
      <c r="J294" s="7">
        <v>0.50972222222222219</v>
      </c>
      <c r="K294" s="20">
        <v>10.5</v>
      </c>
      <c r="L294" s="20">
        <v>10.5</v>
      </c>
      <c r="M294" s="20">
        <v>18</v>
      </c>
      <c r="N294" t="s">
        <v>71</v>
      </c>
      <c r="O294" t="s">
        <v>254</v>
      </c>
      <c r="P294" s="22">
        <v>36</v>
      </c>
      <c r="Q294" t="s">
        <v>56</v>
      </c>
      <c r="R294" t="s">
        <v>631</v>
      </c>
      <c r="S294" t="s">
        <v>63</v>
      </c>
      <c r="T294">
        <f t="shared" si="41"/>
        <v>7</v>
      </c>
      <c r="U294" s="5">
        <v>44853</v>
      </c>
      <c r="V294" s="7">
        <v>0.58680555555555558</v>
      </c>
      <c r="W294" s="5">
        <v>44860</v>
      </c>
      <c r="X294" s="7">
        <v>0.54166666666666663</v>
      </c>
      <c r="Y294" s="22">
        <f t="shared" si="34"/>
        <v>7</v>
      </c>
      <c r="Z294" t="s">
        <v>253</v>
      </c>
      <c r="AA294" t="s">
        <v>253</v>
      </c>
      <c r="AB294">
        <v>1</v>
      </c>
      <c r="AC294" t="s">
        <v>119</v>
      </c>
      <c r="AD294" t="s">
        <v>119</v>
      </c>
      <c r="AE294" t="s">
        <v>242</v>
      </c>
      <c r="AF294" t="s">
        <v>120</v>
      </c>
      <c r="AG294" s="20">
        <v>12</v>
      </c>
      <c r="AH294" s="20">
        <v>11.5</v>
      </c>
      <c r="AI294" s="20">
        <v>7.5</v>
      </c>
      <c r="AJ294" s="22">
        <v>40</v>
      </c>
      <c r="AK294" s="22">
        <v>0</v>
      </c>
      <c r="AL294" s="22">
        <v>0</v>
      </c>
      <c r="AM294" s="74">
        <f t="shared" si="36"/>
        <v>100</v>
      </c>
      <c r="AN294" s="22" t="s">
        <v>247</v>
      </c>
      <c r="AO294" s="58">
        <v>1</v>
      </c>
      <c r="AP294" t="s">
        <v>234</v>
      </c>
      <c r="AQ294" s="22" t="s">
        <v>668</v>
      </c>
      <c r="AR294" t="s">
        <v>117</v>
      </c>
      <c r="AS294" t="s">
        <v>119</v>
      </c>
      <c r="AV294" t="s">
        <v>141</v>
      </c>
      <c r="AW294" t="s">
        <v>642</v>
      </c>
      <c r="AX294" s="51" t="s">
        <v>182</v>
      </c>
      <c r="AY294" s="51" t="s">
        <v>182</v>
      </c>
      <c r="AZ294" t="s">
        <v>117</v>
      </c>
      <c r="BA294" t="s">
        <v>141</v>
      </c>
    </row>
    <row r="295" spans="1:53" x14ac:dyDescent="0.6">
      <c r="A295" s="14" t="str">
        <f t="shared" si="32"/>
        <v>Y</v>
      </c>
      <c r="B295" s="14" t="str">
        <f t="shared" si="33"/>
        <v>Y</v>
      </c>
      <c r="C295" s="14" t="s">
        <v>141</v>
      </c>
      <c r="D295" t="s">
        <v>141</v>
      </c>
      <c r="E295" t="s">
        <v>141</v>
      </c>
      <c r="F295" t="str">
        <f t="shared" si="35"/>
        <v>Y_Y</v>
      </c>
      <c r="G295" s="22">
        <v>156</v>
      </c>
      <c r="H295" t="s">
        <v>560</v>
      </c>
      <c r="I295" s="5">
        <v>44846</v>
      </c>
      <c r="J295" s="7">
        <v>0.50972222222222219</v>
      </c>
      <c r="K295" s="20">
        <v>10.5</v>
      </c>
      <c r="L295" s="20">
        <v>10.5</v>
      </c>
      <c r="M295" s="20">
        <v>18</v>
      </c>
      <c r="N295" t="s">
        <v>71</v>
      </c>
      <c r="O295" t="s">
        <v>254</v>
      </c>
      <c r="P295" s="22">
        <v>36</v>
      </c>
      <c r="Q295" t="s">
        <v>56</v>
      </c>
      <c r="R295" t="s">
        <v>631</v>
      </c>
      <c r="S295" t="s">
        <v>63</v>
      </c>
      <c r="T295">
        <f t="shared" si="41"/>
        <v>7</v>
      </c>
      <c r="U295" s="5">
        <v>44853</v>
      </c>
      <c r="V295" s="7">
        <v>0.58680555555555558</v>
      </c>
      <c r="W295" s="5">
        <v>44860</v>
      </c>
      <c r="X295" s="7">
        <v>0.54166666666666663</v>
      </c>
      <c r="Y295" s="22">
        <f t="shared" si="34"/>
        <v>7</v>
      </c>
      <c r="Z295" t="s">
        <v>253</v>
      </c>
      <c r="AA295" t="s">
        <v>253</v>
      </c>
      <c r="AB295">
        <v>2</v>
      </c>
      <c r="AC295" t="s">
        <v>117</v>
      </c>
      <c r="AD295" t="s">
        <v>117</v>
      </c>
      <c r="AE295" t="s">
        <v>244</v>
      </c>
      <c r="AF295" t="s">
        <v>120</v>
      </c>
      <c r="AG295" s="20">
        <v>8.5</v>
      </c>
      <c r="AH295" s="20">
        <v>5.5</v>
      </c>
      <c r="AI295" s="20">
        <v>3.5</v>
      </c>
      <c r="AJ295" s="22">
        <v>20</v>
      </c>
      <c r="AK295" s="22">
        <v>0</v>
      </c>
      <c r="AL295" s="22">
        <v>0</v>
      </c>
      <c r="AM295" s="74">
        <f t="shared" si="36"/>
        <v>100</v>
      </c>
      <c r="AN295" s="22" t="s">
        <v>246</v>
      </c>
      <c r="AO295" s="58">
        <v>2</v>
      </c>
      <c r="AP295" t="s">
        <v>234</v>
      </c>
      <c r="AQ295" s="22" t="s">
        <v>668</v>
      </c>
      <c r="AR295" t="s">
        <v>117</v>
      </c>
      <c r="AS295" t="s">
        <v>119</v>
      </c>
      <c r="AV295" t="s">
        <v>141</v>
      </c>
      <c r="AW295" t="s">
        <v>643</v>
      </c>
      <c r="AX295" s="51" t="s">
        <v>182</v>
      </c>
      <c r="AY295" s="51" t="s">
        <v>182</v>
      </c>
      <c r="AZ295" t="s">
        <v>117</v>
      </c>
      <c r="BA295" t="s">
        <v>141</v>
      </c>
    </row>
    <row r="296" spans="1:53" x14ac:dyDescent="0.6">
      <c r="A296" s="14" t="str">
        <f t="shared" si="32"/>
        <v>Y</v>
      </c>
      <c r="B296" s="14" t="str">
        <f t="shared" si="33"/>
        <v>Y</v>
      </c>
      <c r="C296" s="14" t="s">
        <v>141</v>
      </c>
      <c r="D296" t="s">
        <v>141</v>
      </c>
      <c r="E296" t="s">
        <v>141</v>
      </c>
      <c r="F296" t="str">
        <f t="shared" si="35"/>
        <v>Y_Y</v>
      </c>
      <c r="G296" s="22">
        <v>157</v>
      </c>
      <c r="H296" t="s">
        <v>499</v>
      </c>
      <c r="I296" s="5">
        <v>44846</v>
      </c>
      <c r="J296" s="7">
        <v>0.50972222222222219</v>
      </c>
      <c r="K296" s="20">
        <v>11</v>
      </c>
      <c r="L296" s="20">
        <v>11.5</v>
      </c>
      <c r="M296" s="20">
        <v>17</v>
      </c>
      <c r="N296" t="s">
        <v>71</v>
      </c>
      <c r="O296" t="s">
        <v>210</v>
      </c>
      <c r="P296" s="22">
        <v>36</v>
      </c>
      <c r="Q296" t="s">
        <v>56</v>
      </c>
      <c r="R296" t="s">
        <v>632</v>
      </c>
      <c r="S296" t="s">
        <v>63</v>
      </c>
      <c r="T296">
        <f t="shared" si="41"/>
        <v>7</v>
      </c>
      <c r="U296" s="5">
        <v>44853</v>
      </c>
      <c r="V296" s="7">
        <v>0.59375</v>
      </c>
      <c r="W296" s="5">
        <v>44860</v>
      </c>
      <c r="X296" s="7">
        <v>0.54652777777777783</v>
      </c>
      <c r="Y296" s="22">
        <f t="shared" si="34"/>
        <v>7</v>
      </c>
      <c r="Z296" t="s">
        <v>386</v>
      </c>
      <c r="AA296" t="s">
        <v>386</v>
      </c>
      <c r="AB296">
        <v>1</v>
      </c>
      <c r="AC296" t="s">
        <v>288</v>
      </c>
      <c r="AD296" t="s">
        <v>288</v>
      </c>
      <c r="AE296" t="s">
        <v>242</v>
      </c>
      <c r="AF296" t="s">
        <v>120</v>
      </c>
      <c r="AG296" s="20">
        <v>19</v>
      </c>
      <c r="AH296" s="20">
        <v>16</v>
      </c>
      <c r="AI296" s="20">
        <v>8</v>
      </c>
      <c r="AJ296" s="22">
        <v>40</v>
      </c>
      <c r="AK296" s="22">
        <v>0</v>
      </c>
      <c r="AL296" s="22">
        <v>40</v>
      </c>
      <c r="AM296" s="74">
        <f t="shared" si="36"/>
        <v>0</v>
      </c>
      <c r="AN296" s="22" t="s">
        <v>245</v>
      </c>
      <c r="AO296" s="58">
        <v>0</v>
      </c>
      <c r="AP296" t="s">
        <v>233</v>
      </c>
      <c r="AQ296" s="22" t="s">
        <v>667</v>
      </c>
      <c r="AR296" t="s">
        <v>66</v>
      </c>
      <c r="AT296" t="s">
        <v>288</v>
      </c>
      <c r="AV296" t="s">
        <v>325</v>
      </c>
      <c r="AW296" t="s">
        <v>182</v>
      </c>
      <c r="AX296" t="s">
        <v>182</v>
      </c>
      <c r="AY296" t="s">
        <v>182</v>
      </c>
      <c r="AZ296" t="s">
        <v>66</v>
      </c>
      <c r="BA296" t="s">
        <v>141</v>
      </c>
    </row>
    <row r="297" spans="1:53" x14ac:dyDescent="0.6">
      <c r="A297" s="14" t="str">
        <f t="shared" si="32"/>
        <v>Y</v>
      </c>
      <c r="B297" s="14" t="str">
        <f t="shared" si="33"/>
        <v>Y</v>
      </c>
      <c r="C297" s="14" t="s">
        <v>141</v>
      </c>
      <c r="D297" t="s">
        <v>141</v>
      </c>
      <c r="E297" t="s">
        <v>141</v>
      </c>
      <c r="F297" t="str">
        <f t="shared" si="35"/>
        <v>Y_Y</v>
      </c>
      <c r="G297" s="22">
        <v>157</v>
      </c>
      <c r="H297" t="s">
        <v>499</v>
      </c>
      <c r="I297" s="5">
        <v>44846</v>
      </c>
      <c r="J297" s="7">
        <v>0.50972222222222219</v>
      </c>
      <c r="K297" s="20">
        <v>11</v>
      </c>
      <c r="L297" s="20">
        <v>11.5</v>
      </c>
      <c r="M297" s="20">
        <v>17</v>
      </c>
      <c r="N297" t="s">
        <v>71</v>
      </c>
      <c r="O297" t="s">
        <v>210</v>
      </c>
      <c r="P297" s="22">
        <v>36</v>
      </c>
      <c r="Q297" t="s">
        <v>56</v>
      </c>
      <c r="R297" t="s">
        <v>632</v>
      </c>
      <c r="S297" t="s">
        <v>63</v>
      </c>
      <c r="T297">
        <f t="shared" si="41"/>
        <v>7</v>
      </c>
      <c r="U297" s="5">
        <v>44853</v>
      </c>
      <c r="V297" s="7">
        <v>0.59375</v>
      </c>
      <c r="W297" s="5">
        <v>44860</v>
      </c>
      <c r="X297" s="7">
        <v>0.54652777777777783</v>
      </c>
      <c r="Y297" s="22">
        <f t="shared" si="34"/>
        <v>7</v>
      </c>
      <c r="Z297" t="s">
        <v>386</v>
      </c>
      <c r="AA297" t="s">
        <v>386</v>
      </c>
      <c r="AB297">
        <v>2</v>
      </c>
      <c r="AC297" t="s">
        <v>66</v>
      </c>
      <c r="AD297" t="s">
        <v>351</v>
      </c>
      <c r="AE297" t="s">
        <v>244</v>
      </c>
      <c r="AF297" t="s">
        <v>67</v>
      </c>
      <c r="AG297" s="20">
        <v>15.5</v>
      </c>
      <c r="AH297" s="20">
        <v>9</v>
      </c>
      <c r="AI297" s="20">
        <v>13</v>
      </c>
      <c r="AJ297" s="22">
        <v>95</v>
      </c>
      <c r="AK297" s="22">
        <v>0</v>
      </c>
      <c r="AL297" s="22">
        <v>0</v>
      </c>
      <c r="AM297" s="74">
        <f t="shared" si="36"/>
        <v>100</v>
      </c>
      <c r="AN297" s="22" t="s">
        <v>246</v>
      </c>
      <c r="AO297" s="58">
        <v>2</v>
      </c>
      <c r="AP297" t="s">
        <v>234</v>
      </c>
      <c r="AQ297" s="22" t="s">
        <v>667</v>
      </c>
      <c r="AR297" t="s">
        <v>66</v>
      </c>
      <c r="AT297" t="s">
        <v>288</v>
      </c>
      <c r="AV297" t="s">
        <v>325</v>
      </c>
      <c r="AW297" t="s">
        <v>448</v>
      </c>
      <c r="AX297" t="s">
        <v>644</v>
      </c>
      <c r="AY297" t="s">
        <v>645</v>
      </c>
      <c r="AZ297" t="s">
        <v>66</v>
      </c>
      <c r="BA297" t="s">
        <v>141</v>
      </c>
    </row>
    <row r="298" spans="1:53" x14ac:dyDescent="0.6">
      <c r="A298" s="14" t="str">
        <f t="shared" si="32"/>
        <v>Y</v>
      </c>
      <c r="B298" s="14" t="str">
        <f t="shared" si="33"/>
        <v>Y</v>
      </c>
      <c r="C298" s="14" t="s">
        <v>141</v>
      </c>
      <c r="D298" t="s">
        <v>141</v>
      </c>
      <c r="E298" t="s">
        <v>141</v>
      </c>
      <c r="F298" t="str">
        <f t="shared" si="35"/>
        <v>Y_Y</v>
      </c>
      <c r="G298" s="22">
        <v>158</v>
      </c>
      <c r="H298" t="s">
        <v>500</v>
      </c>
      <c r="I298" s="5">
        <v>44846</v>
      </c>
      <c r="J298" s="7">
        <v>0.50972222222222219</v>
      </c>
      <c r="K298" s="20">
        <v>11.5</v>
      </c>
      <c r="L298" s="20">
        <v>11.5</v>
      </c>
      <c r="M298" s="20">
        <v>19</v>
      </c>
      <c r="N298" t="s">
        <v>88</v>
      </c>
      <c r="O298" t="s">
        <v>629</v>
      </c>
      <c r="P298" s="22">
        <v>31</v>
      </c>
      <c r="Q298" t="s">
        <v>56</v>
      </c>
      <c r="R298" t="s">
        <v>633</v>
      </c>
      <c r="S298" t="s">
        <v>63</v>
      </c>
      <c r="T298">
        <f t="shared" si="41"/>
        <v>7</v>
      </c>
      <c r="U298" s="5">
        <v>44853</v>
      </c>
      <c r="V298" s="7">
        <v>0.6777777777777777</v>
      </c>
      <c r="W298" s="5">
        <v>44860</v>
      </c>
      <c r="X298" s="7">
        <v>0.55208333333333337</v>
      </c>
      <c r="Y298" s="22">
        <f t="shared" si="34"/>
        <v>7</v>
      </c>
      <c r="Z298" t="s">
        <v>390</v>
      </c>
      <c r="AA298" t="s">
        <v>390</v>
      </c>
      <c r="AB298">
        <v>1</v>
      </c>
      <c r="AC298" t="s">
        <v>284</v>
      </c>
      <c r="AD298" t="s">
        <v>284</v>
      </c>
      <c r="AE298" t="s">
        <v>242</v>
      </c>
      <c r="AF298" t="s">
        <v>120</v>
      </c>
      <c r="AG298" s="20">
        <v>12</v>
      </c>
      <c r="AH298" s="20">
        <v>7</v>
      </c>
      <c r="AI298" s="20">
        <v>6</v>
      </c>
      <c r="AJ298" s="22">
        <v>40</v>
      </c>
      <c r="AK298" s="22">
        <v>0</v>
      </c>
      <c r="AL298" s="22">
        <v>0</v>
      </c>
      <c r="AM298" s="74">
        <f t="shared" si="36"/>
        <v>100</v>
      </c>
      <c r="AN298" s="22" t="s">
        <v>247</v>
      </c>
      <c r="AO298" s="58">
        <v>1</v>
      </c>
      <c r="AP298" t="s">
        <v>234</v>
      </c>
      <c r="AQ298" s="22" t="s">
        <v>668</v>
      </c>
      <c r="AR298" t="s">
        <v>66</v>
      </c>
      <c r="AS298" t="s">
        <v>284</v>
      </c>
      <c r="AV298" t="s">
        <v>141</v>
      </c>
      <c r="AW298" t="s">
        <v>448</v>
      </c>
      <c r="AX298" t="s">
        <v>549</v>
      </c>
      <c r="AY298" t="s">
        <v>646</v>
      </c>
      <c r="AZ298" t="s">
        <v>66</v>
      </c>
      <c r="BA298" t="s">
        <v>141</v>
      </c>
    </row>
    <row r="299" spans="1:53" x14ac:dyDescent="0.6">
      <c r="A299" s="14" t="str">
        <f t="shared" si="32"/>
        <v>Y</v>
      </c>
      <c r="B299" s="14" t="str">
        <f t="shared" si="33"/>
        <v>Y</v>
      </c>
      <c r="C299" s="14" t="s">
        <v>141</v>
      </c>
      <c r="D299" t="s">
        <v>141</v>
      </c>
      <c r="E299" t="s">
        <v>141</v>
      </c>
      <c r="F299" t="str">
        <f t="shared" si="35"/>
        <v>Y_Y</v>
      </c>
      <c r="G299" s="22">
        <v>158</v>
      </c>
      <c r="H299" t="s">
        <v>500</v>
      </c>
      <c r="I299" s="5">
        <v>44846</v>
      </c>
      <c r="J299" s="7">
        <v>0.50972222222222219</v>
      </c>
      <c r="K299" s="20">
        <v>11.5</v>
      </c>
      <c r="L299" s="20">
        <v>11.5</v>
      </c>
      <c r="M299" s="20">
        <v>19</v>
      </c>
      <c r="N299" t="s">
        <v>88</v>
      </c>
      <c r="O299" t="s">
        <v>629</v>
      </c>
      <c r="P299" s="22">
        <v>31</v>
      </c>
      <c r="Q299" t="s">
        <v>56</v>
      </c>
      <c r="R299" t="s">
        <v>633</v>
      </c>
      <c r="S299" t="s">
        <v>63</v>
      </c>
      <c r="T299">
        <f t="shared" si="41"/>
        <v>7</v>
      </c>
      <c r="U299" s="5">
        <v>44853</v>
      </c>
      <c r="V299" s="7">
        <v>0.6777777777777777</v>
      </c>
      <c r="W299" s="5">
        <v>44860</v>
      </c>
      <c r="X299" s="7">
        <v>0.55208333333333337</v>
      </c>
      <c r="Y299" s="22">
        <f t="shared" si="34"/>
        <v>7</v>
      </c>
      <c r="Z299" t="s">
        <v>390</v>
      </c>
      <c r="AA299" t="s">
        <v>390</v>
      </c>
      <c r="AB299">
        <v>2</v>
      </c>
      <c r="AC299" t="s">
        <v>66</v>
      </c>
      <c r="AD299" t="s">
        <v>351</v>
      </c>
      <c r="AE299" t="s">
        <v>244</v>
      </c>
      <c r="AF299" t="s">
        <v>67</v>
      </c>
      <c r="AG299" s="20">
        <v>9</v>
      </c>
      <c r="AH299" s="20">
        <v>7.5</v>
      </c>
      <c r="AI299" s="20">
        <v>4</v>
      </c>
      <c r="AJ299" s="22">
        <v>90</v>
      </c>
      <c r="AK299" s="22">
        <v>0</v>
      </c>
      <c r="AL299" s="22">
        <v>0</v>
      </c>
      <c r="AM299" s="74">
        <f t="shared" si="36"/>
        <v>100</v>
      </c>
      <c r="AN299" s="22" t="s">
        <v>246</v>
      </c>
      <c r="AO299" s="58">
        <v>2</v>
      </c>
      <c r="AP299" t="s">
        <v>234</v>
      </c>
      <c r="AQ299" s="22" t="s">
        <v>668</v>
      </c>
      <c r="AR299" t="s">
        <v>66</v>
      </c>
      <c r="AS299" t="s">
        <v>284</v>
      </c>
      <c r="AV299" t="s">
        <v>141</v>
      </c>
      <c r="AW299" t="s">
        <v>643</v>
      </c>
      <c r="AX299" t="s">
        <v>182</v>
      </c>
      <c r="AY299" t="s">
        <v>182</v>
      </c>
      <c r="AZ299" t="s">
        <v>66</v>
      </c>
      <c r="BA299" t="s">
        <v>141</v>
      </c>
    </row>
    <row r="300" spans="1:53" x14ac:dyDescent="0.6">
      <c r="A300" s="14" t="str">
        <f t="shared" si="32"/>
        <v>Y</v>
      </c>
      <c r="B300" s="14" t="str">
        <f t="shared" si="33"/>
        <v>Y</v>
      </c>
      <c r="C300" s="14" t="s">
        <v>141</v>
      </c>
      <c r="D300" t="s">
        <v>141</v>
      </c>
      <c r="E300" t="s">
        <v>141</v>
      </c>
      <c r="F300" t="str">
        <f t="shared" si="35"/>
        <v>Y_Y</v>
      </c>
      <c r="G300" s="22">
        <v>159</v>
      </c>
      <c r="H300" t="s">
        <v>559</v>
      </c>
      <c r="I300" s="5">
        <v>44846</v>
      </c>
      <c r="J300" s="7">
        <v>0.50972222222222219</v>
      </c>
      <c r="K300" s="20">
        <v>12</v>
      </c>
      <c r="L300" s="20">
        <v>12.5</v>
      </c>
      <c r="M300" s="20">
        <v>19</v>
      </c>
      <c r="N300" t="s">
        <v>88</v>
      </c>
      <c r="O300" t="s">
        <v>187</v>
      </c>
      <c r="P300" s="22">
        <v>28</v>
      </c>
      <c r="Q300" t="s">
        <v>630</v>
      </c>
      <c r="R300" t="s">
        <v>522</v>
      </c>
      <c r="S300" s="56" t="s">
        <v>522</v>
      </c>
      <c r="T300">
        <f t="shared" si="41"/>
        <v>7</v>
      </c>
      <c r="U300" s="5">
        <v>44853</v>
      </c>
      <c r="V300" s="7">
        <v>0.68611111111111101</v>
      </c>
      <c r="W300" s="5">
        <v>44860</v>
      </c>
      <c r="X300" s="7">
        <v>0.55486111111111114</v>
      </c>
      <c r="Y300" s="22">
        <f t="shared" si="34"/>
        <v>7</v>
      </c>
      <c r="Z300" t="s">
        <v>616</v>
      </c>
      <c r="AA300" t="s">
        <v>616</v>
      </c>
      <c r="AB300">
        <v>1</v>
      </c>
      <c r="AC300" t="s">
        <v>46</v>
      </c>
      <c r="AD300" t="s">
        <v>352</v>
      </c>
      <c r="AE300" t="s">
        <v>242</v>
      </c>
      <c r="AF300" t="s">
        <v>47</v>
      </c>
      <c r="AG300" s="20">
        <v>9</v>
      </c>
      <c r="AH300" s="20">
        <v>7</v>
      </c>
      <c r="AI300" s="20">
        <v>5</v>
      </c>
      <c r="AJ300" s="22">
        <v>80</v>
      </c>
      <c r="AK300" s="22">
        <v>0</v>
      </c>
      <c r="AL300" s="22">
        <v>80</v>
      </c>
      <c r="AM300" s="74">
        <f t="shared" si="36"/>
        <v>0</v>
      </c>
      <c r="AN300" s="22" t="s">
        <v>245</v>
      </c>
      <c r="AO300" s="58">
        <v>0</v>
      </c>
      <c r="AP300" t="s">
        <v>233</v>
      </c>
      <c r="AQ300" s="22" t="s">
        <v>669</v>
      </c>
      <c r="AT300" t="s">
        <v>46</v>
      </c>
      <c r="AU300" t="s">
        <v>98</v>
      </c>
      <c r="AV300" t="s">
        <v>324</v>
      </c>
      <c r="AW300" t="s">
        <v>182</v>
      </c>
      <c r="AX300" t="s">
        <v>182</v>
      </c>
      <c r="AY300" t="s">
        <v>182</v>
      </c>
      <c r="AZ300" t="s">
        <v>46</v>
      </c>
      <c r="BA300" t="s">
        <v>460</v>
      </c>
    </row>
    <row r="301" spans="1:53" x14ac:dyDescent="0.6">
      <c r="A301" s="14" t="str">
        <f t="shared" si="32"/>
        <v>Y</v>
      </c>
      <c r="B301" s="14" t="str">
        <f t="shared" si="33"/>
        <v>Y</v>
      </c>
      <c r="C301" s="14" t="s">
        <v>141</v>
      </c>
      <c r="D301" t="s">
        <v>141</v>
      </c>
      <c r="E301" t="s">
        <v>141</v>
      </c>
      <c r="F301" t="str">
        <f t="shared" si="35"/>
        <v>Y_Y</v>
      </c>
      <c r="G301" s="22">
        <v>159</v>
      </c>
      <c r="H301" t="s">
        <v>559</v>
      </c>
      <c r="I301" s="5">
        <v>44846</v>
      </c>
      <c r="J301" s="7">
        <v>0.50972222222222219</v>
      </c>
      <c r="K301" s="20">
        <v>12</v>
      </c>
      <c r="L301" s="20">
        <v>12.5</v>
      </c>
      <c r="M301" s="20">
        <v>19</v>
      </c>
      <c r="N301" t="s">
        <v>88</v>
      </c>
      <c r="O301" t="s">
        <v>187</v>
      </c>
      <c r="P301" s="22">
        <v>28</v>
      </c>
      <c r="Q301" t="s">
        <v>630</v>
      </c>
      <c r="R301" t="s">
        <v>522</v>
      </c>
      <c r="S301" s="56" t="s">
        <v>522</v>
      </c>
      <c r="T301">
        <f t="shared" si="41"/>
        <v>7</v>
      </c>
      <c r="U301" s="5">
        <v>44853</v>
      </c>
      <c r="V301" s="7">
        <v>0.68611111111111101</v>
      </c>
      <c r="W301" s="5">
        <v>44860</v>
      </c>
      <c r="X301" s="7">
        <v>0.55486111111111114</v>
      </c>
      <c r="Y301" s="22">
        <f t="shared" si="34"/>
        <v>7</v>
      </c>
      <c r="Z301" t="s">
        <v>616</v>
      </c>
      <c r="AA301" t="s">
        <v>616</v>
      </c>
      <c r="AB301">
        <v>2</v>
      </c>
      <c r="AC301" t="s">
        <v>98</v>
      </c>
      <c r="AD301" t="s">
        <v>98</v>
      </c>
      <c r="AE301" t="s">
        <v>244</v>
      </c>
      <c r="AF301" t="s">
        <v>97</v>
      </c>
      <c r="AG301" s="20">
        <v>9</v>
      </c>
      <c r="AH301" s="20">
        <v>6.5</v>
      </c>
      <c r="AI301" s="20">
        <v>2</v>
      </c>
      <c r="AJ301" s="22">
        <v>95</v>
      </c>
      <c r="AK301" s="22">
        <v>0</v>
      </c>
      <c r="AL301" s="22">
        <v>95</v>
      </c>
      <c r="AM301" s="74">
        <f t="shared" si="36"/>
        <v>0</v>
      </c>
      <c r="AN301" s="22" t="s">
        <v>245</v>
      </c>
      <c r="AO301" s="58">
        <v>0</v>
      </c>
      <c r="AP301" t="s">
        <v>233</v>
      </c>
      <c r="AQ301" s="22" t="s">
        <v>669</v>
      </c>
      <c r="AT301" t="s">
        <v>46</v>
      </c>
      <c r="AU301" t="s">
        <v>98</v>
      </c>
      <c r="AV301" t="s">
        <v>324</v>
      </c>
      <c r="AW301" t="s">
        <v>182</v>
      </c>
      <c r="AX301" t="s">
        <v>182</v>
      </c>
      <c r="AY301" t="s">
        <v>182</v>
      </c>
      <c r="AZ301" t="s">
        <v>46</v>
      </c>
      <c r="BA301" t="s">
        <v>460</v>
      </c>
    </row>
    <row r="302" spans="1:53" x14ac:dyDescent="0.6">
      <c r="A302" s="14" t="str">
        <f t="shared" si="32"/>
        <v>Y</v>
      </c>
      <c r="B302" s="14" t="str">
        <f t="shared" si="33"/>
        <v>Y</v>
      </c>
      <c r="C302" s="14" t="s">
        <v>141</v>
      </c>
      <c r="D302" t="s">
        <v>63</v>
      </c>
      <c r="E302" t="s">
        <v>141</v>
      </c>
      <c r="F302" t="str">
        <f t="shared" si="35"/>
        <v>N_Y</v>
      </c>
      <c r="G302" s="22">
        <v>160</v>
      </c>
      <c r="H302" t="s">
        <v>558</v>
      </c>
      <c r="I302" s="5">
        <v>44846</v>
      </c>
      <c r="J302" s="7">
        <v>0.50972222222222219</v>
      </c>
      <c r="K302" s="20">
        <v>13</v>
      </c>
      <c r="L302" s="20">
        <v>12.5</v>
      </c>
      <c r="M302" s="20">
        <v>17</v>
      </c>
      <c r="N302" t="s">
        <v>71</v>
      </c>
      <c r="O302" t="s">
        <v>254</v>
      </c>
      <c r="P302" s="22">
        <v>36</v>
      </c>
      <c r="Q302" t="s">
        <v>56</v>
      </c>
      <c r="R302" t="s">
        <v>634</v>
      </c>
      <c r="S302" t="s">
        <v>63</v>
      </c>
      <c r="T302">
        <f t="shared" si="41"/>
        <v>7</v>
      </c>
      <c r="U302" s="5">
        <v>44853</v>
      </c>
      <c r="V302" s="7">
        <v>0.69027777777777777</v>
      </c>
      <c r="W302" s="5">
        <v>44860</v>
      </c>
      <c r="X302" s="7">
        <v>0.55833333333333335</v>
      </c>
      <c r="Y302" s="22">
        <f t="shared" si="34"/>
        <v>7</v>
      </c>
      <c r="Z302" t="s">
        <v>577</v>
      </c>
      <c r="AA302" t="s">
        <v>577</v>
      </c>
      <c r="AB302">
        <v>1</v>
      </c>
      <c r="AC302" t="s">
        <v>284</v>
      </c>
      <c r="AD302" t="s">
        <v>284</v>
      </c>
      <c r="AE302" t="s">
        <v>242</v>
      </c>
      <c r="AF302" t="s">
        <v>120</v>
      </c>
      <c r="AG302" s="20">
        <v>6</v>
      </c>
      <c r="AH302" s="20">
        <v>5</v>
      </c>
      <c r="AI302" s="20">
        <v>5.5</v>
      </c>
      <c r="AJ302" s="22">
        <v>15</v>
      </c>
      <c r="AK302" s="22">
        <v>0</v>
      </c>
      <c r="AL302" s="22">
        <v>15</v>
      </c>
      <c r="AM302" s="74">
        <f t="shared" si="36"/>
        <v>0</v>
      </c>
      <c r="AN302" s="22" t="s">
        <v>245</v>
      </c>
      <c r="AO302" s="58">
        <v>0</v>
      </c>
      <c r="AP302" t="s">
        <v>233</v>
      </c>
      <c r="AQ302" s="22" t="s">
        <v>667</v>
      </c>
      <c r="AR302" t="s">
        <v>117</v>
      </c>
      <c r="AT302" t="s">
        <v>284</v>
      </c>
      <c r="AV302" t="s">
        <v>325</v>
      </c>
      <c r="AW302" t="s">
        <v>182</v>
      </c>
      <c r="AX302" t="s">
        <v>182</v>
      </c>
      <c r="AY302" t="s">
        <v>182</v>
      </c>
      <c r="AZ302" t="s">
        <v>458</v>
      </c>
      <c r="BA302" t="s">
        <v>458</v>
      </c>
    </row>
    <row r="303" spans="1:53" x14ac:dyDescent="0.6">
      <c r="A303" s="14" t="str">
        <f t="shared" si="32"/>
        <v>Y</v>
      </c>
      <c r="B303" s="14" t="str">
        <f t="shared" si="33"/>
        <v>Y</v>
      </c>
      <c r="C303" s="14" t="s">
        <v>141</v>
      </c>
      <c r="D303" t="s">
        <v>63</v>
      </c>
      <c r="E303" t="s">
        <v>141</v>
      </c>
      <c r="F303" t="str">
        <f t="shared" si="35"/>
        <v>N_Y</v>
      </c>
      <c r="G303" s="22">
        <v>160</v>
      </c>
      <c r="H303" t="s">
        <v>558</v>
      </c>
      <c r="I303" s="5">
        <v>44846</v>
      </c>
      <c r="J303" s="7">
        <v>0.50972222222222219</v>
      </c>
      <c r="K303" s="20">
        <v>13</v>
      </c>
      <c r="L303" s="20">
        <v>12.5</v>
      </c>
      <c r="M303" s="20">
        <v>17</v>
      </c>
      <c r="N303" t="s">
        <v>71</v>
      </c>
      <c r="O303" t="s">
        <v>254</v>
      </c>
      <c r="P303" s="22">
        <v>36</v>
      </c>
      <c r="Q303" t="s">
        <v>56</v>
      </c>
      <c r="R303" t="s">
        <v>634</v>
      </c>
      <c r="S303" t="s">
        <v>63</v>
      </c>
      <c r="T303">
        <f t="shared" si="41"/>
        <v>7</v>
      </c>
      <c r="U303" s="5">
        <v>44853</v>
      </c>
      <c r="V303" s="7">
        <v>0.69027777777777777</v>
      </c>
      <c r="W303" s="5">
        <v>44860</v>
      </c>
      <c r="X303" s="7">
        <v>0.55833333333333335</v>
      </c>
      <c r="Y303" s="22">
        <f t="shared" si="34"/>
        <v>7</v>
      </c>
      <c r="Z303" t="s">
        <v>577</v>
      </c>
      <c r="AA303" t="s">
        <v>577</v>
      </c>
      <c r="AB303">
        <v>2</v>
      </c>
      <c r="AC303" t="s">
        <v>117</v>
      </c>
      <c r="AD303" t="s">
        <v>117</v>
      </c>
      <c r="AE303" t="s">
        <v>244</v>
      </c>
      <c r="AF303" t="s">
        <v>120</v>
      </c>
      <c r="AG303" s="20">
        <v>6.5</v>
      </c>
      <c r="AH303" s="20">
        <v>4</v>
      </c>
      <c r="AI303" s="20">
        <v>4.5</v>
      </c>
      <c r="AJ303" s="22">
        <v>75</v>
      </c>
      <c r="AK303" s="22">
        <v>0</v>
      </c>
      <c r="AL303" s="22">
        <v>0</v>
      </c>
      <c r="AM303" s="74">
        <f t="shared" si="36"/>
        <v>100</v>
      </c>
      <c r="AN303" s="22" t="s">
        <v>246</v>
      </c>
      <c r="AO303" s="58">
        <v>2</v>
      </c>
      <c r="AP303" t="s">
        <v>234</v>
      </c>
      <c r="AQ303" s="22" t="s">
        <v>667</v>
      </c>
      <c r="AR303" t="s">
        <v>117</v>
      </c>
      <c r="AT303" t="s">
        <v>284</v>
      </c>
      <c r="AV303" t="s">
        <v>325</v>
      </c>
      <c r="AW303" t="s">
        <v>448</v>
      </c>
      <c r="AX303" t="s">
        <v>647</v>
      </c>
      <c r="AY303" t="s">
        <v>648</v>
      </c>
      <c r="AZ303" t="s">
        <v>458</v>
      </c>
      <c r="BA303" t="s">
        <v>458</v>
      </c>
    </row>
    <row r="304" spans="1:53" x14ac:dyDescent="0.6">
      <c r="A304" s="14" t="str">
        <f t="shared" si="32"/>
        <v>Y</v>
      </c>
      <c r="B304" s="14" t="str">
        <f t="shared" si="33"/>
        <v>Y</v>
      </c>
      <c r="C304" s="14" t="s">
        <v>141</v>
      </c>
      <c r="D304" t="s">
        <v>63</v>
      </c>
      <c r="E304" t="s">
        <v>141</v>
      </c>
      <c r="F304" t="str">
        <f t="shared" si="35"/>
        <v>N_Y</v>
      </c>
      <c r="G304" s="22">
        <v>161</v>
      </c>
      <c r="H304" t="s">
        <v>560</v>
      </c>
      <c r="I304" s="5">
        <v>44881</v>
      </c>
      <c r="J304" s="7">
        <v>0.5625</v>
      </c>
      <c r="K304" s="20">
        <v>13</v>
      </c>
      <c r="L304" s="20">
        <v>12</v>
      </c>
      <c r="M304" s="20">
        <v>20</v>
      </c>
      <c r="N304" t="s">
        <v>71</v>
      </c>
      <c r="O304" t="s">
        <v>210</v>
      </c>
      <c r="P304" s="22">
        <v>40</v>
      </c>
      <c r="Q304" t="s">
        <v>258</v>
      </c>
      <c r="R304" t="s">
        <v>651</v>
      </c>
      <c r="S304" t="s">
        <v>63</v>
      </c>
      <c r="T304">
        <f t="shared" si="41"/>
        <v>7</v>
      </c>
      <c r="U304" s="5">
        <v>44888</v>
      </c>
      <c r="V304" s="7">
        <v>0.53263888888888888</v>
      </c>
      <c r="W304" s="5">
        <v>44895</v>
      </c>
      <c r="X304" s="7">
        <v>0.43472222222222223</v>
      </c>
      <c r="Y304" s="22">
        <f t="shared" si="34"/>
        <v>7</v>
      </c>
      <c r="Z304" t="s">
        <v>221</v>
      </c>
      <c r="AA304" t="s">
        <v>221</v>
      </c>
      <c r="AB304">
        <v>1</v>
      </c>
      <c r="AC304" t="s">
        <v>119</v>
      </c>
      <c r="AD304" t="s">
        <v>119</v>
      </c>
      <c r="AE304" t="s">
        <v>242</v>
      </c>
      <c r="AF304" t="s">
        <v>120</v>
      </c>
      <c r="AG304" s="20">
        <v>20</v>
      </c>
      <c r="AH304" s="20">
        <v>18</v>
      </c>
      <c r="AI304" s="20">
        <v>10</v>
      </c>
      <c r="AJ304" s="22">
        <v>50</v>
      </c>
      <c r="AK304" s="22">
        <v>0</v>
      </c>
      <c r="AL304" s="22">
        <v>50</v>
      </c>
      <c r="AM304" s="74">
        <f t="shared" si="36"/>
        <v>0</v>
      </c>
      <c r="AN304" s="22" t="s">
        <v>245</v>
      </c>
      <c r="AO304" s="58">
        <v>0</v>
      </c>
      <c r="AP304" t="s">
        <v>233</v>
      </c>
      <c r="AQ304" s="22" t="s">
        <v>669</v>
      </c>
      <c r="AT304" t="s">
        <v>119</v>
      </c>
      <c r="AU304" t="s">
        <v>46</v>
      </c>
      <c r="AV304" t="s">
        <v>324</v>
      </c>
      <c r="AW304" t="s">
        <v>182</v>
      </c>
      <c r="AX304" t="s">
        <v>182</v>
      </c>
      <c r="AY304" t="s">
        <v>182</v>
      </c>
      <c r="AZ304" t="s">
        <v>458</v>
      </c>
      <c r="BA304" t="s">
        <v>458</v>
      </c>
    </row>
    <row r="305" spans="1:53" x14ac:dyDescent="0.6">
      <c r="A305" s="14" t="str">
        <f t="shared" si="32"/>
        <v>Y</v>
      </c>
      <c r="B305" s="14" t="str">
        <f t="shared" si="33"/>
        <v>Y</v>
      </c>
      <c r="C305" s="14" t="s">
        <v>141</v>
      </c>
      <c r="D305" t="s">
        <v>63</v>
      </c>
      <c r="E305" t="s">
        <v>141</v>
      </c>
      <c r="F305" t="str">
        <f t="shared" si="35"/>
        <v>N_Y</v>
      </c>
      <c r="G305" s="22">
        <v>161</v>
      </c>
      <c r="H305" t="s">
        <v>560</v>
      </c>
      <c r="I305" s="5">
        <v>44881</v>
      </c>
      <c r="J305" s="7">
        <v>0.5625</v>
      </c>
      <c r="K305" s="20">
        <v>13</v>
      </c>
      <c r="L305" s="20">
        <v>12</v>
      </c>
      <c r="M305" s="20">
        <v>20</v>
      </c>
      <c r="N305" t="s">
        <v>71</v>
      </c>
      <c r="O305" t="s">
        <v>210</v>
      </c>
      <c r="P305" s="22">
        <v>40</v>
      </c>
      <c r="Q305" t="s">
        <v>258</v>
      </c>
      <c r="R305" t="s">
        <v>651</v>
      </c>
      <c r="S305" t="s">
        <v>63</v>
      </c>
      <c r="T305">
        <f t="shared" si="41"/>
        <v>7</v>
      </c>
      <c r="U305" s="5">
        <v>44888</v>
      </c>
      <c r="V305" s="7">
        <v>0.53263888888888888</v>
      </c>
      <c r="W305" s="5">
        <v>44895</v>
      </c>
      <c r="X305" s="7">
        <v>0.43472222222222223</v>
      </c>
      <c r="Y305" s="22">
        <f t="shared" si="34"/>
        <v>7</v>
      </c>
      <c r="Z305" t="s">
        <v>221</v>
      </c>
      <c r="AA305" t="s">
        <v>221</v>
      </c>
      <c r="AB305">
        <v>2</v>
      </c>
      <c r="AC305" t="s">
        <v>46</v>
      </c>
      <c r="AD305" t="s">
        <v>352</v>
      </c>
      <c r="AE305" t="s">
        <v>244</v>
      </c>
      <c r="AF305" t="s">
        <v>47</v>
      </c>
      <c r="AG305" s="20">
        <v>14</v>
      </c>
      <c r="AH305" s="20">
        <v>12</v>
      </c>
      <c r="AI305" s="20">
        <v>12</v>
      </c>
      <c r="AJ305" s="22">
        <v>80</v>
      </c>
      <c r="AK305" s="22">
        <v>0</v>
      </c>
      <c r="AL305" s="22">
        <v>80</v>
      </c>
      <c r="AM305" s="74">
        <f t="shared" si="36"/>
        <v>0</v>
      </c>
      <c r="AN305" s="22" t="s">
        <v>245</v>
      </c>
      <c r="AO305" s="58">
        <v>0</v>
      </c>
      <c r="AP305" t="s">
        <v>233</v>
      </c>
      <c r="AQ305" s="22" t="s">
        <v>669</v>
      </c>
      <c r="AT305" t="s">
        <v>119</v>
      </c>
      <c r="AU305" t="s">
        <v>46</v>
      </c>
      <c r="AV305" t="s">
        <v>324</v>
      </c>
      <c r="AW305" t="s">
        <v>182</v>
      </c>
      <c r="AX305" t="s">
        <v>182</v>
      </c>
      <c r="AY305" t="s">
        <v>182</v>
      </c>
      <c r="AZ305" t="s">
        <v>458</v>
      </c>
      <c r="BA305" t="s">
        <v>458</v>
      </c>
    </row>
    <row r="306" spans="1:53" x14ac:dyDescent="0.6">
      <c r="A306" s="14" t="str">
        <f t="shared" si="32"/>
        <v>Y</v>
      </c>
      <c r="B306" s="14" t="str">
        <f t="shared" si="33"/>
        <v>Y</v>
      </c>
      <c r="C306" s="14" t="s">
        <v>141</v>
      </c>
      <c r="D306" t="s">
        <v>63</v>
      </c>
      <c r="E306" t="s">
        <v>141</v>
      </c>
      <c r="F306" t="str">
        <f t="shared" si="35"/>
        <v>N_Y</v>
      </c>
      <c r="G306" s="22">
        <v>162</v>
      </c>
      <c r="H306" t="s">
        <v>499</v>
      </c>
      <c r="I306" s="5">
        <v>44881</v>
      </c>
      <c r="J306" s="7">
        <v>0.5625</v>
      </c>
      <c r="K306" s="20">
        <v>11</v>
      </c>
      <c r="L306" s="20">
        <v>12</v>
      </c>
      <c r="M306" s="20">
        <v>18</v>
      </c>
      <c r="N306" t="s">
        <v>71</v>
      </c>
      <c r="O306" t="s">
        <v>625</v>
      </c>
      <c r="P306" s="22">
        <v>42</v>
      </c>
      <c r="Q306" t="s">
        <v>258</v>
      </c>
      <c r="R306" t="s">
        <v>652</v>
      </c>
      <c r="S306" t="s">
        <v>63</v>
      </c>
      <c r="T306">
        <f t="shared" si="41"/>
        <v>7</v>
      </c>
      <c r="U306" s="5">
        <v>44888</v>
      </c>
      <c r="V306" s="7">
        <v>0.5395833333333333</v>
      </c>
      <c r="W306" s="5">
        <v>44895</v>
      </c>
      <c r="X306" s="7">
        <v>0.4375</v>
      </c>
      <c r="Y306" s="22">
        <f t="shared" si="34"/>
        <v>7</v>
      </c>
      <c r="Z306" t="s">
        <v>401</v>
      </c>
      <c r="AA306" t="s">
        <v>401</v>
      </c>
      <c r="AB306">
        <v>1</v>
      </c>
      <c r="AC306" t="s">
        <v>66</v>
      </c>
      <c r="AD306" t="s">
        <v>351</v>
      </c>
      <c r="AE306" t="s">
        <v>242</v>
      </c>
      <c r="AF306" t="s">
        <v>67</v>
      </c>
      <c r="AG306" s="20">
        <v>12.5</v>
      </c>
      <c r="AH306" s="20">
        <v>16</v>
      </c>
      <c r="AI306" s="20">
        <v>7</v>
      </c>
      <c r="AJ306" s="22">
        <v>85</v>
      </c>
      <c r="AK306" s="22">
        <v>0</v>
      </c>
      <c r="AL306" s="22">
        <v>85</v>
      </c>
      <c r="AM306" s="74">
        <f t="shared" si="36"/>
        <v>0</v>
      </c>
      <c r="AN306" s="22" t="s">
        <v>245</v>
      </c>
      <c r="AO306" s="58">
        <v>0</v>
      </c>
      <c r="AP306" t="s">
        <v>233</v>
      </c>
      <c r="AQ306" s="22" t="s">
        <v>669</v>
      </c>
      <c r="AT306" t="s">
        <v>66</v>
      </c>
      <c r="AU306" t="s">
        <v>287</v>
      </c>
      <c r="AV306" t="s">
        <v>324</v>
      </c>
      <c r="AW306" t="s">
        <v>182</v>
      </c>
      <c r="AX306" t="s">
        <v>182</v>
      </c>
      <c r="AY306" t="s">
        <v>182</v>
      </c>
      <c r="AZ306" t="s">
        <v>458</v>
      </c>
      <c r="BA306" t="s">
        <v>458</v>
      </c>
    </row>
    <row r="307" spans="1:53" x14ac:dyDescent="0.6">
      <c r="A307" s="14" t="str">
        <f t="shared" si="32"/>
        <v>Y</v>
      </c>
      <c r="B307" s="14" t="str">
        <f t="shared" si="33"/>
        <v>Y</v>
      </c>
      <c r="C307" s="14" t="s">
        <v>141</v>
      </c>
      <c r="D307" t="s">
        <v>63</v>
      </c>
      <c r="E307" t="s">
        <v>141</v>
      </c>
      <c r="F307" t="str">
        <f t="shared" si="35"/>
        <v>N_Y</v>
      </c>
      <c r="G307" s="22">
        <v>162</v>
      </c>
      <c r="H307" t="s">
        <v>499</v>
      </c>
      <c r="I307" s="5">
        <v>44881</v>
      </c>
      <c r="J307" s="7">
        <v>0.5625</v>
      </c>
      <c r="K307" s="20">
        <v>11</v>
      </c>
      <c r="L307" s="20">
        <v>12</v>
      </c>
      <c r="M307" s="20">
        <v>18</v>
      </c>
      <c r="N307" t="s">
        <v>71</v>
      </c>
      <c r="O307" t="s">
        <v>625</v>
      </c>
      <c r="P307" s="22">
        <v>42</v>
      </c>
      <c r="Q307" t="s">
        <v>258</v>
      </c>
      <c r="R307" t="s">
        <v>652</v>
      </c>
      <c r="S307" t="s">
        <v>63</v>
      </c>
      <c r="T307">
        <f t="shared" si="41"/>
        <v>7</v>
      </c>
      <c r="U307" s="5">
        <v>44888</v>
      </c>
      <c r="V307" s="7">
        <v>0.5395833333333333</v>
      </c>
      <c r="W307" s="5">
        <v>44895</v>
      </c>
      <c r="X307" s="7">
        <v>0.4375</v>
      </c>
      <c r="Y307" s="22">
        <f t="shared" si="34"/>
        <v>7</v>
      </c>
      <c r="Z307" t="s">
        <v>401</v>
      </c>
      <c r="AA307" t="s">
        <v>401</v>
      </c>
      <c r="AB307">
        <v>2</v>
      </c>
      <c r="AC307" t="s">
        <v>287</v>
      </c>
      <c r="AD307" t="s">
        <v>287</v>
      </c>
      <c r="AE307" t="s">
        <v>244</v>
      </c>
      <c r="AF307" t="s">
        <v>402</v>
      </c>
      <c r="AG307" s="20">
        <v>11.5</v>
      </c>
      <c r="AH307" s="20">
        <v>8</v>
      </c>
      <c r="AI307" s="20">
        <v>12</v>
      </c>
      <c r="AJ307" s="22">
        <v>30</v>
      </c>
      <c r="AK307" s="22">
        <v>0</v>
      </c>
      <c r="AL307" s="22">
        <v>30</v>
      </c>
      <c r="AM307" s="74">
        <f t="shared" si="36"/>
        <v>0</v>
      </c>
      <c r="AN307" s="22" t="s">
        <v>245</v>
      </c>
      <c r="AO307" s="58">
        <v>0</v>
      </c>
      <c r="AP307" t="s">
        <v>233</v>
      </c>
      <c r="AQ307" s="22" t="s">
        <v>669</v>
      </c>
      <c r="AT307" t="s">
        <v>66</v>
      </c>
      <c r="AU307" t="s">
        <v>287</v>
      </c>
      <c r="AV307" t="s">
        <v>324</v>
      </c>
      <c r="AW307" t="s">
        <v>182</v>
      </c>
      <c r="AX307" t="s">
        <v>182</v>
      </c>
      <c r="AY307" t="s">
        <v>182</v>
      </c>
      <c r="AZ307" t="s">
        <v>458</v>
      </c>
      <c r="BA307" t="s">
        <v>458</v>
      </c>
    </row>
    <row r="308" spans="1:53" x14ac:dyDescent="0.6">
      <c r="A308" s="14" t="str">
        <f>IF(T308=7, "Y", "N")</f>
        <v>Y</v>
      </c>
      <c r="B308" s="14" t="str">
        <f t="shared" si="33"/>
        <v>Y</v>
      </c>
      <c r="C308" s="14" t="s">
        <v>141</v>
      </c>
      <c r="D308" t="s">
        <v>63</v>
      </c>
      <c r="E308" t="s">
        <v>63</v>
      </c>
      <c r="F308" t="str">
        <f t="shared" si="35"/>
        <v>N_N</v>
      </c>
      <c r="G308" s="22">
        <v>163</v>
      </c>
      <c r="H308" t="s">
        <v>500</v>
      </c>
      <c r="I308" s="5">
        <v>44881</v>
      </c>
      <c r="J308" s="7">
        <v>0.5625</v>
      </c>
      <c r="K308" s="20">
        <v>10.5</v>
      </c>
      <c r="L308" s="20">
        <v>10.5</v>
      </c>
      <c r="M308" s="20">
        <v>17</v>
      </c>
      <c r="N308" t="s">
        <v>71</v>
      </c>
      <c r="O308" t="s">
        <v>625</v>
      </c>
      <c r="P308" s="22">
        <v>42</v>
      </c>
      <c r="Q308" t="s">
        <v>56</v>
      </c>
      <c r="R308" t="s">
        <v>653</v>
      </c>
      <c r="S308" t="s">
        <v>63</v>
      </c>
      <c r="T308">
        <f>DATEDIF(I308,U308,"d")</f>
        <v>7</v>
      </c>
      <c r="U308" s="5">
        <v>44888</v>
      </c>
      <c r="V308" s="7">
        <v>0.54861111111111105</v>
      </c>
      <c r="W308" s="5">
        <v>44895</v>
      </c>
      <c r="X308" s="7">
        <v>0.44097222222222227</v>
      </c>
      <c r="Y308" s="22">
        <f t="shared" si="34"/>
        <v>7</v>
      </c>
      <c r="Z308" t="s">
        <v>447</v>
      </c>
      <c r="AA308" t="s">
        <v>447</v>
      </c>
      <c r="AB308">
        <v>1</v>
      </c>
      <c r="AC308" t="s">
        <v>117</v>
      </c>
      <c r="AD308" t="s">
        <v>117</v>
      </c>
      <c r="AE308" t="s">
        <v>242</v>
      </c>
      <c r="AF308" t="s">
        <v>120</v>
      </c>
      <c r="AG308" s="20">
        <v>18</v>
      </c>
      <c r="AH308" s="20">
        <v>13</v>
      </c>
      <c r="AI308" s="20">
        <v>9</v>
      </c>
      <c r="AJ308" s="22">
        <v>20</v>
      </c>
      <c r="AK308" s="22">
        <v>0</v>
      </c>
      <c r="AL308" s="22">
        <v>20</v>
      </c>
      <c r="AM308" s="74">
        <f t="shared" si="36"/>
        <v>0</v>
      </c>
      <c r="AN308" s="22" t="s">
        <v>245</v>
      </c>
      <c r="AO308" s="58">
        <v>0</v>
      </c>
      <c r="AP308" t="s">
        <v>233</v>
      </c>
      <c r="AQ308" s="22" t="s">
        <v>669</v>
      </c>
      <c r="AT308" t="s">
        <v>117</v>
      </c>
      <c r="AU308" t="s">
        <v>288</v>
      </c>
      <c r="AV308" t="s">
        <v>324</v>
      </c>
      <c r="AW308" t="s">
        <v>182</v>
      </c>
      <c r="AX308" t="s">
        <v>182</v>
      </c>
      <c r="AY308" t="s">
        <v>182</v>
      </c>
      <c r="AZ308" t="s">
        <v>458</v>
      </c>
      <c r="BA308" t="s">
        <v>458</v>
      </c>
    </row>
    <row r="309" spans="1:53" x14ac:dyDescent="0.6">
      <c r="A309" s="14" t="str">
        <f t="shared" si="32"/>
        <v>Y</v>
      </c>
      <c r="B309" s="14" t="str">
        <f t="shared" si="33"/>
        <v>Y</v>
      </c>
      <c r="C309" s="14" t="s">
        <v>141</v>
      </c>
      <c r="D309" t="s">
        <v>63</v>
      </c>
      <c r="E309" t="s">
        <v>141</v>
      </c>
      <c r="F309" t="str">
        <f t="shared" si="35"/>
        <v>N_Y</v>
      </c>
      <c r="G309" s="22">
        <v>163</v>
      </c>
      <c r="H309" t="s">
        <v>500</v>
      </c>
      <c r="I309" s="5">
        <v>44881</v>
      </c>
      <c r="J309" s="7">
        <v>0.5625</v>
      </c>
      <c r="K309" s="20">
        <v>10.5</v>
      </c>
      <c r="L309" s="20">
        <v>10.5</v>
      </c>
      <c r="M309" s="20">
        <v>17</v>
      </c>
      <c r="N309" t="s">
        <v>71</v>
      </c>
      <c r="O309" t="s">
        <v>625</v>
      </c>
      <c r="P309" s="22">
        <v>42</v>
      </c>
      <c r="Q309" t="s">
        <v>56</v>
      </c>
      <c r="R309" t="s">
        <v>653</v>
      </c>
      <c r="S309" t="s">
        <v>63</v>
      </c>
      <c r="T309">
        <f t="shared" si="41"/>
        <v>7</v>
      </c>
      <c r="U309" s="5">
        <v>44888</v>
      </c>
      <c r="V309" s="7">
        <v>0.54861111111111105</v>
      </c>
      <c r="W309" s="5">
        <v>44895</v>
      </c>
      <c r="X309" s="7">
        <v>0.44097222222222227</v>
      </c>
      <c r="Y309" s="22">
        <f t="shared" si="34"/>
        <v>7</v>
      </c>
      <c r="Z309" t="s">
        <v>447</v>
      </c>
      <c r="AA309" t="s">
        <v>447</v>
      </c>
      <c r="AB309">
        <v>2</v>
      </c>
      <c r="AC309" t="s">
        <v>288</v>
      </c>
      <c r="AD309" t="s">
        <v>288</v>
      </c>
      <c r="AE309" t="s">
        <v>244</v>
      </c>
      <c r="AF309" t="s">
        <v>120</v>
      </c>
      <c r="AG309" s="20">
        <v>12</v>
      </c>
      <c r="AH309" s="20">
        <v>8</v>
      </c>
      <c r="AI309" s="20">
        <v>10</v>
      </c>
      <c r="AJ309" s="22">
        <v>45</v>
      </c>
      <c r="AK309" s="22">
        <v>0</v>
      </c>
      <c r="AL309" s="22">
        <v>45</v>
      </c>
      <c r="AM309" s="74">
        <f t="shared" si="36"/>
        <v>0</v>
      </c>
      <c r="AN309" s="22" t="s">
        <v>245</v>
      </c>
      <c r="AO309" s="58">
        <v>0</v>
      </c>
      <c r="AP309" t="s">
        <v>233</v>
      </c>
      <c r="AQ309" s="22" t="s">
        <v>669</v>
      </c>
      <c r="AT309" t="s">
        <v>117</v>
      </c>
      <c r="AU309" t="s">
        <v>288</v>
      </c>
      <c r="AV309" t="s">
        <v>324</v>
      </c>
      <c r="AW309" t="s">
        <v>182</v>
      </c>
      <c r="AX309" t="s">
        <v>182</v>
      </c>
      <c r="AY309" t="s">
        <v>182</v>
      </c>
      <c r="AZ309" t="s">
        <v>458</v>
      </c>
      <c r="BA309" t="s">
        <v>458</v>
      </c>
    </row>
    <row r="310" spans="1:53" x14ac:dyDescent="0.6">
      <c r="A310" s="14" t="str">
        <f t="shared" si="32"/>
        <v>Y</v>
      </c>
      <c r="B310" s="14" t="str">
        <f t="shared" si="33"/>
        <v>Y</v>
      </c>
      <c r="C310" s="14" t="s">
        <v>141</v>
      </c>
      <c r="D310" t="s">
        <v>63</v>
      </c>
      <c r="E310" t="s">
        <v>141</v>
      </c>
      <c r="F310" t="str">
        <f t="shared" si="35"/>
        <v>N_Y</v>
      </c>
      <c r="G310" s="22">
        <v>164</v>
      </c>
      <c r="H310" t="s">
        <v>559</v>
      </c>
      <c r="I310" s="5">
        <v>44881</v>
      </c>
      <c r="J310" s="7">
        <v>0.5625</v>
      </c>
      <c r="K310" s="20">
        <v>10.5</v>
      </c>
      <c r="L310" s="20">
        <v>11</v>
      </c>
      <c r="M310" s="20">
        <v>17</v>
      </c>
      <c r="N310" t="s">
        <v>71</v>
      </c>
      <c r="O310" t="s">
        <v>210</v>
      </c>
      <c r="P310" s="22">
        <v>40</v>
      </c>
      <c r="Q310" t="s">
        <v>650</v>
      </c>
      <c r="R310" t="s">
        <v>654</v>
      </c>
      <c r="S310" t="s">
        <v>63</v>
      </c>
      <c r="T310">
        <f t="shared" si="41"/>
        <v>7</v>
      </c>
      <c r="U310" s="5">
        <v>44888</v>
      </c>
      <c r="V310" s="7">
        <v>0.6166666666666667</v>
      </c>
      <c r="W310" s="5">
        <v>44895</v>
      </c>
      <c r="X310" s="7">
        <v>0.44236111111111115</v>
      </c>
      <c r="Y310" s="22">
        <f t="shared" si="34"/>
        <v>7</v>
      </c>
      <c r="Z310" t="s">
        <v>536</v>
      </c>
      <c r="AA310" t="s">
        <v>536</v>
      </c>
      <c r="AB310">
        <v>1</v>
      </c>
      <c r="AC310" t="s">
        <v>117</v>
      </c>
      <c r="AD310" t="s">
        <v>117</v>
      </c>
      <c r="AE310" t="s">
        <v>242</v>
      </c>
      <c r="AF310" t="s">
        <v>120</v>
      </c>
      <c r="AG310" s="20">
        <v>15</v>
      </c>
      <c r="AH310" s="20">
        <v>8</v>
      </c>
      <c r="AI310" s="20">
        <v>7.5</v>
      </c>
      <c r="AJ310" s="22">
        <v>15</v>
      </c>
      <c r="AK310" s="22">
        <v>0</v>
      </c>
      <c r="AL310" s="22">
        <v>15</v>
      </c>
      <c r="AM310" s="74">
        <f t="shared" si="36"/>
        <v>0</v>
      </c>
      <c r="AN310" s="22" t="s">
        <v>245</v>
      </c>
      <c r="AO310" s="58">
        <v>0</v>
      </c>
      <c r="AP310" t="s">
        <v>233</v>
      </c>
      <c r="AQ310" s="22" t="s">
        <v>669</v>
      </c>
      <c r="AT310" t="s">
        <v>117</v>
      </c>
      <c r="AU310" t="s">
        <v>287</v>
      </c>
      <c r="AV310" t="s">
        <v>324</v>
      </c>
      <c r="AW310" t="s">
        <v>182</v>
      </c>
      <c r="AX310" t="s">
        <v>182</v>
      </c>
      <c r="AY310" t="s">
        <v>182</v>
      </c>
      <c r="AZ310" t="s">
        <v>458</v>
      </c>
      <c r="BA310" t="s">
        <v>458</v>
      </c>
    </row>
    <row r="311" spans="1:53" x14ac:dyDescent="0.6">
      <c r="A311" s="14" t="str">
        <f t="shared" si="32"/>
        <v>Y</v>
      </c>
      <c r="B311" s="14" t="str">
        <f t="shared" si="33"/>
        <v>Y</v>
      </c>
      <c r="C311" s="14" t="s">
        <v>141</v>
      </c>
      <c r="D311" t="s">
        <v>63</v>
      </c>
      <c r="E311" t="s">
        <v>141</v>
      </c>
      <c r="F311" t="str">
        <f t="shared" si="35"/>
        <v>N_Y</v>
      </c>
      <c r="G311" s="22">
        <v>164</v>
      </c>
      <c r="H311" t="s">
        <v>559</v>
      </c>
      <c r="I311" s="5">
        <v>44881</v>
      </c>
      <c r="J311" s="7">
        <v>0.5625</v>
      </c>
      <c r="K311" s="20">
        <v>10.5</v>
      </c>
      <c r="L311" s="20">
        <v>11</v>
      </c>
      <c r="M311" s="20">
        <v>17</v>
      </c>
      <c r="N311" t="s">
        <v>71</v>
      </c>
      <c r="O311" t="s">
        <v>210</v>
      </c>
      <c r="P311" s="22">
        <v>40</v>
      </c>
      <c r="Q311" t="s">
        <v>650</v>
      </c>
      <c r="R311" t="s">
        <v>654</v>
      </c>
      <c r="S311" t="s">
        <v>63</v>
      </c>
      <c r="T311">
        <f t="shared" si="41"/>
        <v>7</v>
      </c>
      <c r="U311" s="5">
        <v>44888</v>
      </c>
      <c r="V311" s="7">
        <v>0.6166666666666667</v>
      </c>
      <c r="W311" s="5">
        <v>44895</v>
      </c>
      <c r="X311" s="7">
        <v>0.44236111111111115</v>
      </c>
      <c r="Y311" s="22">
        <f t="shared" si="34"/>
        <v>7</v>
      </c>
      <c r="Z311" t="s">
        <v>536</v>
      </c>
      <c r="AA311" t="s">
        <v>536</v>
      </c>
      <c r="AB311">
        <v>2</v>
      </c>
      <c r="AC311" t="s">
        <v>287</v>
      </c>
      <c r="AD311" t="s">
        <v>287</v>
      </c>
      <c r="AE311" t="s">
        <v>244</v>
      </c>
      <c r="AF311" t="s">
        <v>402</v>
      </c>
      <c r="AG311" s="20">
        <v>6</v>
      </c>
      <c r="AH311" s="20">
        <v>4.5</v>
      </c>
      <c r="AI311" s="20">
        <v>3</v>
      </c>
      <c r="AJ311" s="22">
        <v>80</v>
      </c>
      <c r="AK311" s="22">
        <v>0</v>
      </c>
      <c r="AL311" s="22">
        <v>80</v>
      </c>
      <c r="AM311" s="74">
        <f t="shared" si="36"/>
        <v>0</v>
      </c>
      <c r="AN311" s="22" t="s">
        <v>245</v>
      </c>
      <c r="AO311" s="58">
        <v>0</v>
      </c>
      <c r="AP311" t="s">
        <v>233</v>
      </c>
      <c r="AQ311" s="22" t="s">
        <v>669</v>
      </c>
      <c r="AT311" t="s">
        <v>117</v>
      </c>
      <c r="AU311" t="s">
        <v>287</v>
      </c>
      <c r="AV311" t="s">
        <v>324</v>
      </c>
      <c r="AW311" t="s">
        <v>182</v>
      </c>
      <c r="AX311" t="s">
        <v>182</v>
      </c>
      <c r="AY311" t="s">
        <v>182</v>
      </c>
      <c r="AZ311" t="s">
        <v>458</v>
      </c>
      <c r="BA311" t="s">
        <v>458</v>
      </c>
    </row>
    <row r="312" spans="1:53" x14ac:dyDescent="0.6">
      <c r="A312" s="14" t="str">
        <f t="shared" si="32"/>
        <v>Y</v>
      </c>
      <c r="B312" s="14" t="str">
        <f t="shared" si="33"/>
        <v>Y</v>
      </c>
      <c r="C312" s="14" t="s">
        <v>141</v>
      </c>
      <c r="D312" t="s">
        <v>63</v>
      </c>
      <c r="E312" t="s">
        <v>141</v>
      </c>
      <c r="F312" t="str">
        <f t="shared" si="35"/>
        <v>N_Y</v>
      </c>
      <c r="G312" s="22">
        <v>165</v>
      </c>
      <c r="H312" t="s">
        <v>558</v>
      </c>
      <c r="I312" s="5">
        <v>44881</v>
      </c>
      <c r="J312" s="7">
        <v>0.5625</v>
      </c>
      <c r="K312" s="20">
        <v>13.5</v>
      </c>
      <c r="L312" s="20">
        <v>13</v>
      </c>
      <c r="M312" s="20">
        <v>21</v>
      </c>
      <c r="N312" t="s">
        <v>71</v>
      </c>
      <c r="O312" t="s">
        <v>210</v>
      </c>
      <c r="P312" s="22">
        <v>40</v>
      </c>
      <c r="Q312" t="s">
        <v>307</v>
      </c>
      <c r="R312" t="s">
        <v>379</v>
      </c>
      <c r="S312" s="56" t="s">
        <v>379</v>
      </c>
      <c r="T312">
        <f t="shared" si="41"/>
        <v>7</v>
      </c>
      <c r="U312" s="5">
        <v>44888</v>
      </c>
      <c r="V312" s="7">
        <v>0.62638888888888888</v>
      </c>
      <c r="W312" s="5">
        <v>44895</v>
      </c>
      <c r="X312" s="7">
        <v>0.44513888888888892</v>
      </c>
      <c r="Y312" s="22">
        <f t="shared" si="34"/>
        <v>7</v>
      </c>
      <c r="Z312" t="s">
        <v>390</v>
      </c>
      <c r="AA312" t="s">
        <v>390</v>
      </c>
      <c r="AB312">
        <v>1</v>
      </c>
      <c r="AC312" t="s">
        <v>66</v>
      </c>
      <c r="AD312" t="s">
        <v>351</v>
      </c>
      <c r="AE312" t="s">
        <v>242</v>
      </c>
      <c r="AF312" t="s">
        <v>67</v>
      </c>
      <c r="AG312" s="20">
        <v>5</v>
      </c>
      <c r="AH312" s="20">
        <v>4</v>
      </c>
      <c r="AI312" s="20">
        <v>4</v>
      </c>
      <c r="AJ312" s="22">
        <v>75</v>
      </c>
      <c r="AK312" s="22">
        <v>0</v>
      </c>
      <c r="AL312" s="22">
        <v>75</v>
      </c>
      <c r="AM312" s="74">
        <f t="shared" si="36"/>
        <v>0</v>
      </c>
      <c r="AN312" s="22" t="s">
        <v>245</v>
      </c>
      <c r="AO312" s="58">
        <v>0</v>
      </c>
      <c r="AP312" t="s">
        <v>233</v>
      </c>
      <c r="AQ312" s="22" t="s">
        <v>669</v>
      </c>
      <c r="AT312" t="s">
        <v>66</v>
      </c>
      <c r="AU312" t="s">
        <v>284</v>
      </c>
      <c r="AV312" t="s">
        <v>324</v>
      </c>
      <c r="AW312" t="s">
        <v>182</v>
      </c>
      <c r="AX312" t="s">
        <v>182</v>
      </c>
      <c r="AY312" t="s">
        <v>182</v>
      </c>
      <c r="AZ312" t="s">
        <v>458</v>
      </c>
      <c r="BA312" t="s">
        <v>458</v>
      </c>
    </row>
    <row r="313" spans="1:53" x14ac:dyDescent="0.6">
      <c r="A313" s="14" t="str">
        <f t="shared" si="32"/>
        <v>Y</v>
      </c>
      <c r="B313" s="14" t="str">
        <f t="shared" si="33"/>
        <v>Y</v>
      </c>
      <c r="C313" s="14" t="s">
        <v>141</v>
      </c>
      <c r="D313" t="s">
        <v>63</v>
      </c>
      <c r="E313" t="s">
        <v>63</v>
      </c>
      <c r="F313" t="str">
        <f t="shared" si="35"/>
        <v>N_N</v>
      </c>
      <c r="G313" s="22">
        <v>165</v>
      </c>
      <c r="H313" t="s">
        <v>558</v>
      </c>
      <c r="I313" s="5">
        <v>44881</v>
      </c>
      <c r="J313" s="7">
        <v>0.5625</v>
      </c>
      <c r="K313" s="20">
        <v>13.5</v>
      </c>
      <c r="L313" s="20">
        <v>13</v>
      </c>
      <c r="M313" s="20">
        <v>21</v>
      </c>
      <c r="N313" t="s">
        <v>71</v>
      </c>
      <c r="O313" s="20" t="s">
        <v>210</v>
      </c>
      <c r="P313" s="22">
        <v>40</v>
      </c>
      <c r="Q313" t="s">
        <v>307</v>
      </c>
      <c r="R313" t="s">
        <v>379</v>
      </c>
      <c r="S313" s="56" t="s">
        <v>379</v>
      </c>
      <c r="T313">
        <f t="shared" si="41"/>
        <v>7</v>
      </c>
      <c r="U313" s="5">
        <v>44888</v>
      </c>
      <c r="V313" s="7">
        <v>0.62638888888888888</v>
      </c>
      <c r="W313" s="5">
        <v>44895</v>
      </c>
      <c r="X313" s="7">
        <v>0.44513888888888892</v>
      </c>
      <c r="Y313" s="22">
        <f t="shared" si="34"/>
        <v>7</v>
      </c>
      <c r="Z313" t="s">
        <v>390</v>
      </c>
      <c r="AA313" t="s">
        <v>390</v>
      </c>
      <c r="AB313">
        <v>2</v>
      </c>
      <c r="AC313" t="s">
        <v>284</v>
      </c>
      <c r="AD313" t="s">
        <v>284</v>
      </c>
      <c r="AE313" t="s">
        <v>244</v>
      </c>
      <c r="AF313" t="s">
        <v>120</v>
      </c>
      <c r="AG313" s="20">
        <v>5.5</v>
      </c>
      <c r="AH313" s="20">
        <v>3</v>
      </c>
      <c r="AI313" s="20">
        <v>6</v>
      </c>
      <c r="AJ313" s="22">
        <v>15</v>
      </c>
      <c r="AK313" s="22">
        <v>0</v>
      </c>
      <c r="AL313" s="22">
        <v>15</v>
      </c>
      <c r="AM313" s="74">
        <f t="shared" si="36"/>
        <v>0</v>
      </c>
      <c r="AN313" s="22" t="s">
        <v>245</v>
      </c>
      <c r="AO313" s="58">
        <v>0</v>
      </c>
      <c r="AP313" t="s">
        <v>233</v>
      </c>
      <c r="AQ313" s="22" t="s">
        <v>669</v>
      </c>
      <c r="AT313" t="s">
        <v>66</v>
      </c>
      <c r="AU313" t="s">
        <v>284</v>
      </c>
      <c r="AV313" t="s">
        <v>324</v>
      </c>
      <c r="AW313" t="s">
        <v>182</v>
      </c>
      <c r="AX313" t="s">
        <v>182</v>
      </c>
      <c r="AY313" t="s">
        <v>182</v>
      </c>
      <c r="AZ313" t="s">
        <v>458</v>
      </c>
      <c r="BA313" t="s">
        <v>458</v>
      </c>
    </row>
    <row r="314" spans="1:53" x14ac:dyDescent="0.6">
      <c r="A314" s="14" t="str">
        <f t="shared" si="32"/>
        <v>N</v>
      </c>
      <c r="B314" s="14" t="str">
        <f t="shared" si="33"/>
        <v>Y</v>
      </c>
      <c r="C314" s="14" t="s">
        <v>141</v>
      </c>
      <c r="D314" t="s">
        <v>141</v>
      </c>
      <c r="E314" t="s">
        <v>141</v>
      </c>
      <c r="F314" t="str">
        <f t="shared" si="35"/>
        <v>Y_Y</v>
      </c>
      <c r="G314" s="22">
        <v>166</v>
      </c>
      <c r="H314" t="s">
        <v>560</v>
      </c>
      <c r="I314" s="5">
        <v>44892</v>
      </c>
      <c r="J314" s="7">
        <v>0.625</v>
      </c>
      <c r="K314" s="20">
        <v>13</v>
      </c>
      <c r="L314" s="20">
        <v>13</v>
      </c>
      <c r="M314" s="20">
        <v>22</v>
      </c>
      <c r="N314" t="s">
        <v>88</v>
      </c>
      <c r="O314" t="s">
        <v>516</v>
      </c>
      <c r="P314" s="22">
        <v>31</v>
      </c>
      <c r="Q314" t="s">
        <v>56</v>
      </c>
      <c r="R314" t="s">
        <v>81</v>
      </c>
      <c r="S314" s="56" t="s">
        <v>81</v>
      </c>
      <c r="T314">
        <f t="shared" si="41"/>
        <v>3</v>
      </c>
      <c r="U314" s="5">
        <v>44895</v>
      </c>
      <c r="V314" s="7">
        <v>0.53888888888888886</v>
      </c>
      <c r="W314" s="5">
        <v>44902</v>
      </c>
      <c r="X314" s="7">
        <v>0.51180555555555551</v>
      </c>
      <c r="Y314" s="22">
        <f t="shared" si="34"/>
        <v>7</v>
      </c>
      <c r="Z314" t="s">
        <v>401</v>
      </c>
      <c r="AA314" t="s">
        <v>401</v>
      </c>
      <c r="AB314">
        <v>1</v>
      </c>
      <c r="AC314" t="s">
        <v>66</v>
      </c>
      <c r="AD314" t="s">
        <v>351</v>
      </c>
      <c r="AE314" t="s">
        <v>242</v>
      </c>
      <c r="AF314" t="s">
        <v>67</v>
      </c>
      <c r="AG314" s="20">
        <v>5</v>
      </c>
      <c r="AH314" s="20">
        <v>4</v>
      </c>
      <c r="AI314" s="20">
        <v>4</v>
      </c>
      <c r="AJ314" s="22">
        <v>90</v>
      </c>
      <c r="AK314" s="22">
        <v>0</v>
      </c>
      <c r="AL314" s="22">
        <v>0</v>
      </c>
      <c r="AM314" s="74">
        <f t="shared" si="36"/>
        <v>100</v>
      </c>
      <c r="AN314" s="22" t="s">
        <v>246</v>
      </c>
      <c r="AO314" s="58">
        <v>2</v>
      </c>
      <c r="AP314" t="s">
        <v>234</v>
      </c>
      <c r="AQ314" s="22" t="s">
        <v>668</v>
      </c>
      <c r="AR314" t="s">
        <v>66</v>
      </c>
      <c r="AS314" t="s">
        <v>287</v>
      </c>
      <c r="AV314" t="s">
        <v>141</v>
      </c>
      <c r="AW314" t="s">
        <v>658</v>
      </c>
      <c r="AX314" t="s">
        <v>182</v>
      </c>
      <c r="AY314" t="s">
        <v>182</v>
      </c>
      <c r="AZ314" t="s">
        <v>287</v>
      </c>
      <c r="BA314" t="s">
        <v>63</v>
      </c>
    </row>
    <row r="315" spans="1:53" x14ac:dyDescent="0.6">
      <c r="A315" s="14" t="str">
        <f t="shared" si="32"/>
        <v>N</v>
      </c>
      <c r="B315" s="14" t="str">
        <f t="shared" si="33"/>
        <v>Y</v>
      </c>
      <c r="C315" s="14" t="s">
        <v>141</v>
      </c>
      <c r="D315" t="s">
        <v>141</v>
      </c>
      <c r="E315" t="s">
        <v>141</v>
      </c>
      <c r="F315" t="str">
        <f t="shared" si="35"/>
        <v>Y_Y</v>
      </c>
      <c r="G315" s="22">
        <v>166</v>
      </c>
      <c r="H315" t="s">
        <v>560</v>
      </c>
      <c r="I315" s="5">
        <v>44892</v>
      </c>
      <c r="J315" s="7">
        <v>0.625</v>
      </c>
      <c r="K315" s="20">
        <v>13</v>
      </c>
      <c r="L315" s="20">
        <v>13</v>
      </c>
      <c r="M315" s="20">
        <v>22</v>
      </c>
      <c r="N315" t="s">
        <v>88</v>
      </c>
      <c r="O315" t="s">
        <v>516</v>
      </c>
      <c r="P315" s="22">
        <v>31</v>
      </c>
      <c r="Q315" t="s">
        <v>56</v>
      </c>
      <c r="R315" t="s">
        <v>81</v>
      </c>
      <c r="S315" s="56" t="s">
        <v>81</v>
      </c>
      <c r="T315">
        <f t="shared" si="41"/>
        <v>3</v>
      </c>
      <c r="U315" s="5">
        <v>44895</v>
      </c>
      <c r="V315" s="7">
        <v>0.53888888888888886</v>
      </c>
      <c r="W315" s="5">
        <v>44902</v>
      </c>
      <c r="X315" s="7">
        <v>0.51180555555555551</v>
      </c>
      <c r="Y315" s="22">
        <f t="shared" si="34"/>
        <v>7</v>
      </c>
      <c r="Z315" t="s">
        <v>401</v>
      </c>
      <c r="AA315" t="s">
        <v>401</v>
      </c>
      <c r="AB315">
        <v>2</v>
      </c>
      <c r="AC315" t="s">
        <v>287</v>
      </c>
      <c r="AD315" t="s">
        <v>287</v>
      </c>
      <c r="AE315" t="s">
        <v>244</v>
      </c>
      <c r="AF315" t="s">
        <v>402</v>
      </c>
      <c r="AG315" s="20">
        <v>4.5</v>
      </c>
      <c r="AH315" s="20">
        <v>4</v>
      </c>
      <c r="AI315" s="20">
        <v>1.5</v>
      </c>
      <c r="AJ315" s="22">
        <v>50</v>
      </c>
      <c r="AK315" s="22">
        <v>0</v>
      </c>
      <c r="AL315" s="22">
        <v>0</v>
      </c>
      <c r="AM315" s="74">
        <f t="shared" si="36"/>
        <v>100</v>
      </c>
      <c r="AN315" s="22" t="s">
        <v>247</v>
      </c>
      <c r="AO315" s="58">
        <v>1</v>
      </c>
      <c r="AP315" t="s">
        <v>234</v>
      </c>
      <c r="AQ315" s="22" t="s">
        <v>668</v>
      </c>
      <c r="AR315" t="s">
        <v>66</v>
      </c>
      <c r="AS315" t="s">
        <v>287</v>
      </c>
      <c r="AV315" t="s">
        <v>141</v>
      </c>
      <c r="AW315" t="s">
        <v>448</v>
      </c>
      <c r="AX315" t="s">
        <v>660</v>
      </c>
      <c r="AY315" t="s">
        <v>661</v>
      </c>
      <c r="AZ315" t="s">
        <v>287</v>
      </c>
      <c r="BA315" t="s">
        <v>63</v>
      </c>
    </row>
    <row r="316" spans="1:53" x14ac:dyDescent="0.6">
      <c r="A316" s="14" t="str">
        <f t="shared" si="32"/>
        <v>N</v>
      </c>
      <c r="B316" s="14" t="str">
        <f t="shared" si="33"/>
        <v>Y</v>
      </c>
      <c r="C316" s="14" t="s">
        <v>141</v>
      </c>
      <c r="D316" t="s">
        <v>141</v>
      </c>
      <c r="E316" t="s">
        <v>141</v>
      </c>
      <c r="F316" t="str">
        <f t="shared" si="35"/>
        <v>Y_Y</v>
      </c>
      <c r="G316" s="22">
        <v>167</v>
      </c>
      <c r="H316" t="s">
        <v>499</v>
      </c>
      <c r="I316" s="5">
        <v>44892</v>
      </c>
      <c r="J316" s="7">
        <v>0.625</v>
      </c>
      <c r="K316" s="20">
        <v>11.5</v>
      </c>
      <c r="L316" s="20">
        <v>11.5</v>
      </c>
      <c r="M316" s="20">
        <v>18</v>
      </c>
      <c r="N316" t="s">
        <v>71</v>
      </c>
      <c r="O316" t="s">
        <v>210</v>
      </c>
      <c r="P316" s="22">
        <v>40</v>
      </c>
      <c r="Q316" t="s">
        <v>341</v>
      </c>
      <c r="R316" t="s">
        <v>655</v>
      </c>
      <c r="S316" t="s">
        <v>63</v>
      </c>
      <c r="T316">
        <f t="shared" si="41"/>
        <v>3</v>
      </c>
      <c r="U316" s="5">
        <v>44895</v>
      </c>
      <c r="V316" s="7">
        <v>0.54305555555555551</v>
      </c>
      <c r="W316" s="5">
        <v>44902</v>
      </c>
      <c r="X316" s="7">
        <v>0.51874999999999993</v>
      </c>
      <c r="Y316" s="22">
        <f t="shared" si="34"/>
        <v>7</v>
      </c>
      <c r="Z316" t="s">
        <v>663</v>
      </c>
      <c r="AA316" t="s">
        <v>390</v>
      </c>
      <c r="AB316">
        <v>1</v>
      </c>
      <c r="AC316" t="s">
        <v>132</v>
      </c>
      <c r="AD316" t="s">
        <v>351</v>
      </c>
      <c r="AE316" t="s">
        <v>242</v>
      </c>
      <c r="AF316" t="s">
        <v>67</v>
      </c>
      <c r="AG316" s="20">
        <v>5.5</v>
      </c>
      <c r="AH316" s="20">
        <v>1.5</v>
      </c>
      <c r="AI316" s="20">
        <v>12.5</v>
      </c>
      <c r="AJ316" s="22">
        <v>85</v>
      </c>
      <c r="AK316" s="22">
        <v>0</v>
      </c>
      <c r="AL316" s="22">
        <v>0</v>
      </c>
      <c r="AM316" s="74">
        <f t="shared" si="36"/>
        <v>100</v>
      </c>
      <c r="AN316" s="22" t="s">
        <v>247</v>
      </c>
      <c r="AO316" s="58">
        <v>1</v>
      </c>
      <c r="AP316" t="s">
        <v>234</v>
      </c>
      <c r="AQ316" s="22" t="s">
        <v>668</v>
      </c>
      <c r="AR316" t="s">
        <v>284</v>
      </c>
      <c r="AS316" t="s">
        <v>66</v>
      </c>
      <c r="AV316" t="s">
        <v>141</v>
      </c>
      <c r="AW316" t="s">
        <v>658</v>
      </c>
      <c r="AX316" t="s">
        <v>182</v>
      </c>
      <c r="AY316" t="s">
        <v>182</v>
      </c>
      <c r="AZ316" t="s">
        <v>662</v>
      </c>
      <c r="BA316" t="s">
        <v>662</v>
      </c>
    </row>
    <row r="317" spans="1:53" x14ac:dyDescent="0.6">
      <c r="A317" s="14" t="str">
        <f t="shared" si="32"/>
        <v>N</v>
      </c>
      <c r="B317" s="14" t="str">
        <f t="shared" si="33"/>
        <v>Y</v>
      </c>
      <c r="C317" s="14" t="s">
        <v>141</v>
      </c>
      <c r="D317" t="s">
        <v>141</v>
      </c>
      <c r="E317" t="s">
        <v>141</v>
      </c>
      <c r="F317" t="str">
        <f t="shared" si="35"/>
        <v>Y_Y</v>
      </c>
      <c r="G317" s="22">
        <v>167</v>
      </c>
      <c r="H317" t="s">
        <v>499</v>
      </c>
      <c r="I317" s="5">
        <v>44892</v>
      </c>
      <c r="J317" s="7">
        <v>0.625</v>
      </c>
      <c r="K317" s="20">
        <v>11.5</v>
      </c>
      <c r="L317" s="20">
        <v>11.5</v>
      </c>
      <c r="M317" s="20">
        <v>18</v>
      </c>
      <c r="N317" t="s">
        <v>71</v>
      </c>
      <c r="O317" t="s">
        <v>210</v>
      </c>
      <c r="P317" s="22">
        <v>40</v>
      </c>
      <c r="Q317" t="s">
        <v>341</v>
      </c>
      <c r="R317" t="s">
        <v>655</v>
      </c>
      <c r="S317" t="s">
        <v>63</v>
      </c>
      <c r="T317">
        <f t="shared" si="41"/>
        <v>3</v>
      </c>
      <c r="U317" s="5">
        <v>44895</v>
      </c>
      <c r="V317" s="7">
        <v>0.54305555555555551</v>
      </c>
      <c r="W317" s="5">
        <v>44902</v>
      </c>
      <c r="X317" s="7">
        <v>0.51874999999999993</v>
      </c>
      <c r="Y317" s="22">
        <f t="shared" si="34"/>
        <v>7</v>
      </c>
      <c r="Z317" t="s">
        <v>663</v>
      </c>
      <c r="AA317" t="s">
        <v>390</v>
      </c>
      <c r="AB317">
        <v>2</v>
      </c>
      <c r="AC317" t="s">
        <v>284</v>
      </c>
      <c r="AD317" t="s">
        <v>284</v>
      </c>
      <c r="AE317" t="s">
        <v>244</v>
      </c>
      <c r="AF317" t="s">
        <v>120</v>
      </c>
      <c r="AG317" s="20">
        <v>7</v>
      </c>
      <c r="AH317" s="20">
        <v>3.5</v>
      </c>
      <c r="AI317" s="20">
        <v>4</v>
      </c>
      <c r="AJ317" s="22">
        <v>40</v>
      </c>
      <c r="AK317" s="22">
        <v>0</v>
      </c>
      <c r="AL317" s="22">
        <v>0</v>
      </c>
      <c r="AM317" s="74">
        <f t="shared" si="36"/>
        <v>100</v>
      </c>
      <c r="AN317" s="22" t="s">
        <v>246</v>
      </c>
      <c r="AO317" s="58">
        <v>2</v>
      </c>
      <c r="AP317" t="s">
        <v>234</v>
      </c>
      <c r="AQ317" s="22" t="s">
        <v>668</v>
      </c>
      <c r="AR317" t="s">
        <v>284</v>
      </c>
      <c r="AS317" t="s">
        <v>66</v>
      </c>
      <c r="AV317" t="s">
        <v>141</v>
      </c>
      <c r="AW317" t="s">
        <v>659</v>
      </c>
      <c r="AX317" t="s">
        <v>182</v>
      </c>
      <c r="AY317" t="s">
        <v>182</v>
      </c>
      <c r="AZ317" t="s">
        <v>662</v>
      </c>
      <c r="BA317" t="s">
        <v>662</v>
      </c>
    </row>
    <row r="318" spans="1:53" x14ac:dyDescent="0.6">
      <c r="A318" s="14" t="str">
        <f t="shared" si="32"/>
        <v>N</v>
      </c>
      <c r="B318" s="14" t="str">
        <f t="shared" si="33"/>
        <v>Y</v>
      </c>
      <c r="C318" s="14" t="s">
        <v>141</v>
      </c>
      <c r="D318" t="s">
        <v>141</v>
      </c>
      <c r="E318" t="s">
        <v>141</v>
      </c>
      <c r="F318" t="str">
        <f t="shared" si="35"/>
        <v>Y_Y</v>
      </c>
      <c r="G318" s="22">
        <v>168</v>
      </c>
      <c r="H318" t="s">
        <v>500</v>
      </c>
      <c r="I318" s="5">
        <v>44892</v>
      </c>
      <c r="J318" s="7">
        <v>0.625</v>
      </c>
      <c r="K318" s="20">
        <v>12</v>
      </c>
      <c r="L318" s="20">
        <v>12</v>
      </c>
      <c r="M318" s="20">
        <v>19</v>
      </c>
      <c r="N318" t="s">
        <v>71</v>
      </c>
      <c r="O318" t="s">
        <v>210</v>
      </c>
      <c r="P318" s="22">
        <v>38</v>
      </c>
      <c r="Q318" t="s">
        <v>258</v>
      </c>
      <c r="R318" t="s">
        <v>444</v>
      </c>
      <c r="S318" s="56" t="s">
        <v>444</v>
      </c>
      <c r="T318">
        <f t="shared" si="41"/>
        <v>3</v>
      </c>
      <c r="U318" s="5">
        <v>44895</v>
      </c>
      <c r="V318" s="7">
        <v>0.47569444444444442</v>
      </c>
      <c r="W318" s="5">
        <v>44902</v>
      </c>
      <c r="X318" s="7">
        <v>0.53819444444444442</v>
      </c>
      <c r="Y318" s="22">
        <f t="shared" si="34"/>
        <v>7</v>
      </c>
      <c r="Z318" t="s">
        <v>576</v>
      </c>
      <c r="AA318" t="s">
        <v>576</v>
      </c>
      <c r="AB318">
        <v>1</v>
      </c>
      <c r="AC318" t="s">
        <v>118</v>
      </c>
      <c r="AD318" t="s">
        <v>118</v>
      </c>
      <c r="AE318" t="s">
        <v>244</v>
      </c>
      <c r="AF318" t="s">
        <v>121</v>
      </c>
      <c r="AG318" s="20">
        <v>11</v>
      </c>
      <c r="AH318" s="20">
        <v>10</v>
      </c>
      <c r="AI318" s="20">
        <v>12</v>
      </c>
      <c r="AJ318" s="22">
        <v>80</v>
      </c>
      <c r="AK318" s="22">
        <v>0</v>
      </c>
      <c r="AL318" s="22">
        <v>80</v>
      </c>
      <c r="AM318" s="74">
        <f t="shared" si="36"/>
        <v>0</v>
      </c>
      <c r="AN318" s="22" t="s">
        <v>245</v>
      </c>
      <c r="AO318" s="58">
        <v>0</v>
      </c>
      <c r="AP318" t="s">
        <v>233</v>
      </c>
      <c r="AQ318" s="22" t="s">
        <v>669</v>
      </c>
      <c r="AT318" t="s">
        <v>118</v>
      </c>
      <c r="AU318" t="s">
        <v>98</v>
      </c>
      <c r="AV318" t="s">
        <v>324</v>
      </c>
      <c r="AW318" t="s">
        <v>182</v>
      </c>
      <c r="AX318" t="s">
        <v>182</v>
      </c>
      <c r="AY318" t="s">
        <v>182</v>
      </c>
      <c r="AZ318" t="s">
        <v>182</v>
      </c>
      <c r="BA318" t="s">
        <v>182</v>
      </c>
    </row>
    <row r="319" spans="1:53" x14ac:dyDescent="0.6">
      <c r="A319" s="14" t="str">
        <f t="shared" si="32"/>
        <v>N</v>
      </c>
      <c r="B319" s="14" t="str">
        <f t="shared" si="33"/>
        <v>Y</v>
      </c>
      <c r="C319" s="14" t="s">
        <v>141</v>
      </c>
      <c r="D319" t="s">
        <v>141</v>
      </c>
      <c r="E319" t="s">
        <v>63</v>
      </c>
      <c r="F319" t="str">
        <f t="shared" si="35"/>
        <v>Y_N</v>
      </c>
      <c r="G319" s="22">
        <v>168</v>
      </c>
      <c r="H319" t="s">
        <v>500</v>
      </c>
      <c r="I319" s="5">
        <v>44892</v>
      </c>
      <c r="J319" s="7">
        <v>0.625</v>
      </c>
      <c r="K319" s="20">
        <v>12</v>
      </c>
      <c r="L319" s="20">
        <v>12</v>
      </c>
      <c r="M319" s="20">
        <v>19</v>
      </c>
      <c r="N319" t="s">
        <v>71</v>
      </c>
      <c r="O319" t="s">
        <v>210</v>
      </c>
      <c r="P319" s="22">
        <v>38</v>
      </c>
      <c r="Q319" t="s">
        <v>258</v>
      </c>
      <c r="R319" t="s">
        <v>444</v>
      </c>
      <c r="S319" s="56" t="s">
        <v>444</v>
      </c>
      <c r="T319">
        <f t="shared" si="41"/>
        <v>3</v>
      </c>
      <c r="U319" s="5">
        <v>44895</v>
      </c>
      <c r="V319" s="7">
        <v>0.47569444444444442</v>
      </c>
      <c r="W319" s="5">
        <v>44902</v>
      </c>
      <c r="X319" s="7">
        <v>0.53819444444444442</v>
      </c>
      <c r="Y319" s="22">
        <f t="shared" si="34"/>
        <v>7</v>
      </c>
      <c r="Z319" t="s">
        <v>576</v>
      </c>
      <c r="AA319" t="s">
        <v>576</v>
      </c>
      <c r="AB319">
        <v>2</v>
      </c>
      <c r="AC319" t="s">
        <v>98</v>
      </c>
      <c r="AD319" t="s">
        <v>98</v>
      </c>
      <c r="AE319" t="s">
        <v>242</v>
      </c>
      <c r="AF319" t="s">
        <v>97</v>
      </c>
      <c r="AG319" s="20">
        <v>10</v>
      </c>
      <c r="AH319" s="20">
        <v>13</v>
      </c>
      <c r="AI319" s="20">
        <v>4</v>
      </c>
      <c r="AJ319" s="22">
        <v>90</v>
      </c>
      <c r="AK319" s="22">
        <v>0</v>
      </c>
      <c r="AL319" s="22">
        <v>90</v>
      </c>
      <c r="AM319" s="74">
        <f t="shared" si="36"/>
        <v>0</v>
      </c>
      <c r="AN319" s="22" t="s">
        <v>245</v>
      </c>
      <c r="AO319" s="58">
        <v>0</v>
      </c>
      <c r="AP319" t="s">
        <v>233</v>
      </c>
      <c r="AQ319" s="22" t="s">
        <v>669</v>
      </c>
      <c r="AT319" t="s">
        <v>118</v>
      </c>
      <c r="AU319" t="s">
        <v>98</v>
      </c>
      <c r="AV319" t="s">
        <v>324</v>
      </c>
      <c r="AW319" t="s">
        <v>182</v>
      </c>
      <c r="AX319" t="s">
        <v>182</v>
      </c>
      <c r="AY319" t="s">
        <v>182</v>
      </c>
      <c r="AZ319" t="s">
        <v>182</v>
      </c>
      <c r="BA319" t="s">
        <v>182</v>
      </c>
    </row>
    <row r="320" spans="1:53" x14ac:dyDescent="0.6">
      <c r="A320" s="14" t="str">
        <f t="shared" si="32"/>
        <v>Y</v>
      </c>
      <c r="B320" s="14" t="str">
        <f t="shared" si="33"/>
        <v>Y</v>
      </c>
      <c r="C320" s="14" t="s">
        <v>141</v>
      </c>
      <c r="D320" t="s">
        <v>63</v>
      </c>
      <c r="E320" t="s">
        <v>141</v>
      </c>
      <c r="F320" t="str">
        <f t="shared" si="35"/>
        <v>N_Y</v>
      </c>
      <c r="G320" s="22">
        <v>169</v>
      </c>
      <c r="H320" t="s">
        <v>559</v>
      </c>
      <c r="I320" s="5">
        <v>44888</v>
      </c>
      <c r="J320" s="7">
        <v>0.625</v>
      </c>
      <c r="K320" s="20">
        <v>12</v>
      </c>
      <c r="L320" s="20">
        <v>12</v>
      </c>
      <c r="M320" s="20">
        <v>16</v>
      </c>
      <c r="N320" t="s">
        <v>89</v>
      </c>
      <c r="O320" t="s">
        <v>376</v>
      </c>
      <c r="P320" s="22">
        <v>38</v>
      </c>
      <c r="Q320" t="s">
        <v>562</v>
      </c>
      <c r="R320" t="s">
        <v>656</v>
      </c>
      <c r="S320" t="s">
        <v>63</v>
      </c>
      <c r="T320">
        <f t="shared" si="41"/>
        <v>7</v>
      </c>
      <c r="U320" s="5">
        <v>44895</v>
      </c>
      <c r="V320" s="7">
        <v>0.55555555555555558</v>
      </c>
      <c r="W320" s="5">
        <v>44902</v>
      </c>
      <c r="X320" s="7">
        <v>0.59722222222222221</v>
      </c>
      <c r="Y320" s="22">
        <f t="shared" si="34"/>
        <v>7</v>
      </c>
      <c r="Z320" t="s">
        <v>222</v>
      </c>
      <c r="AA320" t="s">
        <v>222</v>
      </c>
      <c r="AB320">
        <v>1</v>
      </c>
      <c r="AC320" t="s">
        <v>118</v>
      </c>
      <c r="AD320" t="s">
        <v>118</v>
      </c>
      <c r="AE320" t="s">
        <v>242</v>
      </c>
      <c r="AF320" t="s">
        <v>121</v>
      </c>
      <c r="AG320" s="20">
        <v>10.5</v>
      </c>
      <c r="AH320" s="20">
        <v>11</v>
      </c>
      <c r="AI320" s="20">
        <v>10</v>
      </c>
      <c r="AJ320" s="22">
        <v>20</v>
      </c>
      <c r="AK320" s="22">
        <v>0</v>
      </c>
      <c r="AL320" s="22">
        <v>20</v>
      </c>
      <c r="AM320" s="74">
        <f t="shared" si="36"/>
        <v>0</v>
      </c>
      <c r="AN320" s="22" t="s">
        <v>245</v>
      </c>
      <c r="AO320" s="58">
        <v>0</v>
      </c>
      <c r="AP320" t="s">
        <v>233</v>
      </c>
      <c r="AQ320" s="22" t="s">
        <v>669</v>
      </c>
      <c r="AT320" t="s">
        <v>118</v>
      </c>
      <c r="AU320" t="s">
        <v>117</v>
      </c>
      <c r="AV320" t="s">
        <v>324</v>
      </c>
      <c r="AW320" t="s">
        <v>182</v>
      </c>
      <c r="AX320" t="s">
        <v>182</v>
      </c>
      <c r="AY320" t="s">
        <v>182</v>
      </c>
      <c r="AZ320" t="s">
        <v>458</v>
      </c>
      <c r="BA320" t="s">
        <v>458</v>
      </c>
    </row>
    <row r="321" spans="1:53" x14ac:dyDescent="0.6">
      <c r="A321" s="14" t="str">
        <f t="shared" si="32"/>
        <v>Y</v>
      </c>
      <c r="B321" s="14" t="str">
        <f t="shared" si="33"/>
        <v>Y</v>
      </c>
      <c r="C321" s="14" t="s">
        <v>141</v>
      </c>
      <c r="D321" t="s">
        <v>63</v>
      </c>
      <c r="E321" t="s">
        <v>141</v>
      </c>
      <c r="F321" t="str">
        <f t="shared" si="35"/>
        <v>N_Y</v>
      </c>
      <c r="G321" s="22">
        <v>169</v>
      </c>
      <c r="H321" t="s">
        <v>559</v>
      </c>
      <c r="I321" s="5">
        <v>44888</v>
      </c>
      <c r="J321" s="7">
        <v>0.625</v>
      </c>
      <c r="K321" s="20">
        <v>12</v>
      </c>
      <c r="L321" s="20">
        <v>12</v>
      </c>
      <c r="M321" s="20">
        <v>16</v>
      </c>
      <c r="N321" t="s">
        <v>89</v>
      </c>
      <c r="O321" t="s">
        <v>376</v>
      </c>
      <c r="P321" s="22">
        <v>38</v>
      </c>
      <c r="Q321" t="s">
        <v>562</v>
      </c>
      <c r="R321" t="s">
        <v>656</v>
      </c>
      <c r="S321" t="s">
        <v>63</v>
      </c>
      <c r="T321">
        <f t="shared" si="41"/>
        <v>7</v>
      </c>
      <c r="U321" s="5">
        <v>44895</v>
      </c>
      <c r="V321" s="7">
        <v>0.55555555555555558</v>
      </c>
      <c r="W321" s="5">
        <v>44902</v>
      </c>
      <c r="X321" s="7">
        <v>0.59722222222222221</v>
      </c>
      <c r="Y321" s="22">
        <f t="shared" si="34"/>
        <v>7</v>
      </c>
      <c r="Z321" t="s">
        <v>222</v>
      </c>
      <c r="AA321" t="s">
        <v>222</v>
      </c>
      <c r="AB321">
        <v>2</v>
      </c>
      <c r="AC321" t="s">
        <v>117</v>
      </c>
      <c r="AD321" t="s">
        <v>117</v>
      </c>
      <c r="AE321" t="s">
        <v>244</v>
      </c>
      <c r="AF321" t="s">
        <v>120</v>
      </c>
      <c r="AG321" s="20">
        <v>12</v>
      </c>
      <c r="AH321" s="20">
        <v>9</v>
      </c>
      <c r="AI321" s="20">
        <v>6.5</v>
      </c>
      <c r="AJ321" s="22">
        <v>15</v>
      </c>
      <c r="AK321" s="22">
        <v>0</v>
      </c>
      <c r="AL321" s="22">
        <v>15</v>
      </c>
      <c r="AM321" s="74">
        <f t="shared" si="36"/>
        <v>0</v>
      </c>
      <c r="AN321" s="22" t="s">
        <v>245</v>
      </c>
      <c r="AO321" s="58">
        <v>0</v>
      </c>
      <c r="AP321" t="s">
        <v>233</v>
      </c>
      <c r="AQ321" s="22" t="s">
        <v>669</v>
      </c>
      <c r="AT321" t="s">
        <v>118</v>
      </c>
      <c r="AU321" t="s">
        <v>117</v>
      </c>
      <c r="AV321" t="s">
        <v>324</v>
      </c>
      <c r="AW321" t="s">
        <v>182</v>
      </c>
      <c r="AX321" t="s">
        <v>182</v>
      </c>
      <c r="AY321" t="s">
        <v>182</v>
      </c>
      <c r="AZ321" t="s">
        <v>458</v>
      </c>
      <c r="BA321" t="s">
        <v>458</v>
      </c>
    </row>
    <row r="322" spans="1:53" x14ac:dyDescent="0.6">
      <c r="A322" s="14" t="str">
        <f t="shared" si="32"/>
        <v>N</v>
      </c>
      <c r="B322" s="14" t="str">
        <f t="shared" si="33"/>
        <v>Y</v>
      </c>
      <c r="C322" s="14" t="s">
        <v>141</v>
      </c>
      <c r="D322" t="s">
        <v>63</v>
      </c>
      <c r="E322" t="s">
        <v>141</v>
      </c>
      <c r="F322" t="str">
        <f t="shared" si="35"/>
        <v>N_Y</v>
      </c>
      <c r="G322" s="22">
        <v>170</v>
      </c>
      <c r="H322" t="s">
        <v>558</v>
      </c>
      <c r="I322" s="5">
        <v>44892</v>
      </c>
      <c r="J322" s="7">
        <v>0.625</v>
      </c>
      <c r="K322" s="20">
        <v>13</v>
      </c>
      <c r="L322" s="20">
        <v>13</v>
      </c>
      <c r="M322" s="20">
        <v>17</v>
      </c>
      <c r="N322" t="s">
        <v>71</v>
      </c>
      <c r="O322" t="s">
        <v>256</v>
      </c>
      <c r="P322" s="22">
        <v>38</v>
      </c>
      <c r="Q322" t="s">
        <v>42</v>
      </c>
      <c r="R322" t="s">
        <v>613</v>
      </c>
      <c r="S322" s="56" t="s">
        <v>613</v>
      </c>
      <c r="T322">
        <f t="shared" si="41"/>
        <v>3</v>
      </c>
      <c r="U322" s="5">
        <v>44895</v>
      </c>
      <c r="V322" s="7">
        <v>0.5625</v>
      </c>
      <c r="W322" s="5">
        <v>44902</v>
      </c>
      <c r="X322" s="7">
        <v>0.60416666666666663</v>
      </c>
      <c r="Y322" s="22">
        <f t="shared" si="34"/>
        <v>7</v>
      </c>
      <c r="Z322" t="s">
        <v>447</v>
      </c>
      <c r="AA322" t="s">
        <v>447</v>
      </c>
      <c r="AB322">
        <v>1</v>
      </c>
      <c r="AC322" t="s">
        <v>288</v>
      </c>
      <c r="AD322" t="s">
        <v>288</v>
      </c>
      <c r="AE322" t="s">
        <v>242</v>
      </c>
      <c r="AF322" t="s">
        <v>120</v>
      </c>
      <c r="AG322" s="20">
        <v>18</v>
      </c>
      <c r="AH322" s="20">
        <v>16</v>
      </c>
      <c r="AI322" s="20">
        <v>9</v>
      </c>
      <c r="AJ322" s="22">
        <v>15</v>
      </c>
      <c r="AK322" s="22">
        <v>0</v>
      </c>
      <c r="AL322" s="22">
        <v>15</v>
      </c>
      <c r="AM322" s="74">
        <f t="shared" si="36"/>
        <v>0</v>
      </c>
      <c r="AN322" s="22" t="s">
        <v>245</v>
      </c>
      <c r="AO322" s="58">
        <v>0</v>
      </c>
      <c r="AP322" t="s">
        <v>233</v>
      </c>
      <c r="AQ322" s="22" t="s">
        <v>669</v>
      </c>
      <c r="AT322" t="s">
        <v>288</v>
      </c>
      <c r="AU322" t="s">
        <v>117</v>
      </c>
      <c r="AV322" t="s">
        <v>324</v>
      </c>
      <c r="AW322" t="s">
        <v>182</v>
      </c>
      <c r="AX322" t="s">
        <v>182</v>
      </c>
      <c r="AY322" t="s">
        <v>182</v>
      </c>
      <c r="AZ322" t="s">
        <v>458</v>
      </c>
      <c r="BA322" t="s">
        <v>458</v>
      </c>
    </row>
    <row r="323" spans="1:53" x14ac:dyDescent="0.6">
      <c r="A323" s="14" t="str">
        <f t="shared" si="32"/>
        <v>N</v>
      </c>
      <c r="B323" s="14" t="str">
        <f t="shared" ref="B323" si="42">IF(Y323=7, "Y", "N")</f>
        <v>Y</v>
      </c>
      <c r="C323" s="14" t="s">
        <v>141</v>
      </c>
      <c r="D323" t="s">
        <v>63</v>
      </c>
      <c r="E323" t="s">
        <v>141</v>
      </c>
      <c r="F323" t="str">
        <f t="shared" si="35"/>
        <v>N_Y</v>
      </c>
      <c r="G323" s="22">
        <v>170</v>
      </c>
      <c r="H323" t="s">
        <v>558</v>
      </c>
      <c r="I323" s="5">
        <v>44892</v>
      </c>
      <c r="J323" s="7">
        <v>0.625</v>
      </c>
      <c r="K323" s="20">
        <v>13</v>
      </c>
      <c r="L323" s="20">
        <v>13</v>
      </c>
      <c r="M323" s="20">
        <v>17</v>
      </c>
      <c r="N323" t="s">
        <v>71</v>
      </c>
      <c r="O323" t="s">
        <v>256</v>
      </c>
      <c r="P323" s="22">
        <v>38</v>
      </c>
      <c r="Q323" t="s">
        <v>42</v>
      </c>
      <c r="R323" t="s">
        <v>613</v>
      </c>
      <c r="S323" s="56" t="s">
        <v>613</v>
      </c>
      <c r="T323">
        <f t="shared" si="41"/>
        <v>3</v>
      </c>
      <c r="U323" s="5">
        <v>44895</v>
      </c>
      <c r="V323" s="7">
        <v>0.5625</v>
      </c>
      <c r="W323" s="5">
        <v>44902</v>
      </c>
      <c r="X323" s="7">
        <v>0.60416666666666663</v>
      </c>
      <c r="Y323" s="22">
        <f t="shared" ref="Y323" si="43">DATEDIF(U323,W323,"d")</f>
        <v>7</v>
      </c>
      <c r="Z323" t="s">
        <v>447</v>
      </c>
      <c r="AA323" t="s">
        <v>447</v>
      </c>
      <c r="AB323">
        <v>2</v>
      </c>
      <c r="AC323" t="s">
        <v>117</v>
      </c>
      <c r="AD323" t="s">
        <v>117</v>
      </c>
      <c r="AE323" t="s">
        <v>244</v>
      </c>
      <c r="AF323" t="s">
        <v>120</v>
      </c>
      <c r="AG323" s="20">
        <v>18.5</v>
      </c>
      <c r="AH323" s="20">
        <v>13</v>
      </c>
      <c r="AI323" s="20">
        <v>9</v>
      </c>
      <c r="AJ323" s="22">
        <v>15</v>
      </c>
      <c r="AK323" s="22">
        <v>0</v>
      </c>
      <c r="AL323" s="22">
        <v>15</v>
      </c>
      <c r="AM323" s="74">
        <f t="shared" si="36"/>
        <v>0</v>
      </c>
      <c r="AN323" s="22" t="s">
        <v>245</v>
      </c>
      <c r="AO323" s="58">
        <v>0</v>
      </c>
      <c r="AP323" t="s">
        <v>233</v>
      </c>
      <c r="AQ323" s="22" t="s">
        <v>669</v>
      </c>
      <c r="AT323" t="s">
        <v>288</v>
      </c>
      <c r="AU323" t="s">
        <v>117</v>
      </c>
      <c r="AV323" t="s">
        <v>324</v>
      </c>
      <c r="AW323" t="s">
        <v>182</v>
      </c>
      <c r="AX323" t="s">
        <v>182</v>
      </c>
      <c r="AY323" t="s">
        <v>182</v>
      </c>
      <c r="AZ323" t="s">
        <v>458</v>
      </c>
      <c r="BA323" t="s">
        <v>458</v>
      </c>
    </row>
  </sheetData>
  <sortState xmlns:xlrd2="http://schemas.microsoft.com/office/spreadsheetml/2017/richdata2" ref="A2:BB91">
    <sortCondition ref="G2:G91"/>
    <sortCondition ref="AB2:AB91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E6E3B-1FB9-8540-AE01-1364B0C121B0}">
  <dimension ref="A1:Z136"/>
  <sheetViews>
    <sheetView topLeftCell="M1" zoomScale="99" workbookViewId="0">
      <pane ySplit="1" topLeftCell="A2" activePane="bottomLeft" state="frozen"/>
      <selection activeCell="I1" sqref="I1"/>
      <selection pane="bottomLeft" activeCell="O7" sqref="O7"/>
    </sheetView>
  </sheetViews>
  <sheetFormatPr defaultColWidth="10.796875" defaultRowHeight="15.6" x14ac:dyDescent="0.6"/>
  <cols>
    <col min="1" max="1" width="6" bestFit="1" customWidth="1"/>
    <col min="2" max="2" width="5.1484375" bestFit="1" customWidth="1"/>
    <col min="3" max="3" width="12.34765625" bestFit="1" customWidth="1"/>
    <col min="4" max="4" width="12.5" bestFit="1" customWidth="1"/>
    <col min="5" max="5" width="10.34765625" bestFit="1" customWidth="1"/>
    <col min="6" max="6" width="17.84765625" bestFit="1" customWidth="1"/>
    <col min="7" max="7" width="16.34765625" bestFit="1" customWidth="1"/>
    <col min="8" max="8" width="9.34765625" bestFit="1" customWidth="1"/>
    <col min="9" max="9" width="14" bestFit="1" customWidth="1"/>
    <col min="10" max="10" width="8.6484375" bestFit="1" customWidth="1"/>
    <col min="11" max="11" width="9.5" bestFit="1" customWidth="1"/>
    <col min="12" max="12" width="8.34765625" bestFit="1" customWidth="1"/>
    <col min="13" max="13" width="15.1484375" bestFit="1" customWidth="1"/>
    <col min="14" max="14" width="17.5" bestFit="1" customWidth="1"/>
    <col min="15" max="16" width="15.1484375" bestFit="1" customWidth="1"/>
    <col min="17" max="17" width="25.84765625" bestFit="1" customWidth="1"/>
    <col min="18" max="18" width="19" customWidth="1"/>
    <col min="19" max="19" width="19" style="60" customWidth="1"/>
    <col min="20" max="20" width="12.6484375" style="60" bestFit="1" customWidth="1"/>
    <col min="21" max="21" width="11.34765625" style="60" bestFit="1" customWidth="1"/>
    <col min="22" max="22" width="21.6484375" style="60" bestFit="1" customWidth="1"/>
    <col min="23" max="23" width="12.6484375" bestFit="1" customWidth="1"/>
    <col min="24" max="24" width="18.1484375" bestFit="1" customWidth="1"/>
    <col min="25" max="25" width="18.1484375" customWidth="1"/>
  </cols>
  <sheetData>
    <row r="1" spans="1:26" ht="17.05" customHeight="1" x14ac:dyDescent="0.6">
      <c r="A1" s="21" t="s">
        <v>31</v>
      </c>
      <c r="B1" s="2" t="s">
        <v>35</v>
      </c>
      <c r="C1" s="4" t="s">
        <v>10</v>
      </c>
      <c r="D1" s="6" t="s">
        <v>11</v>
      </c>
      <c r="E1" s="13" t="s">
        <v>20</v>
      </c>
      <c r="F1" s="3" t="s">
        <v>349</v>
      </c>
      <c r="G1" s="2" t="s">
        <v>350</v>
      </c>
      <c r="H1" s="2" t="s">
        <v>665</v>
      </c>
      <c r="I1" s="2" t="s">
        <v>3</v>
      </c>
      <c r="J1" s="19" t="s">
        <v>0</v>
      </c>
      <c r="K1" s="19" t="s">
        <v>1</v>
      </c>
      <c r="L1" s="19" t="s">
        <v>2</v>
      </c>
      <c r="M1" s="12" t="s">
        <v>150</v>
      </c>
      <c r="N1" s="12" t="s">
        <v>151</v>
      </c>
      <c r="O1" s="12" t="s">
        <v>670</v>
      </c>
      <c r="P1" s="12" t="s">
        <v>671</v>
      </c>
      <c r="Q1" s="3" t="s">
        <v>730</v>
      </c>
      <c r="R1" s="3" t="s">
        <v>731</v>
      </c>
      <c r="S1" s="59" t="s">
        <v>673</v>
      </c>
      <c r="T1" s="59" t="s">
        <v>674</v>
      </c>
      <c r="U1" s="59" t="s">
        <v>676</v>
      </c>
      <c r="V1" s="59" t="s">
        <v>678</v>
      </c>
      <c r="W1" s="3" t="s">
        <v>679</v>
      </c>
      <c r="X1" s="3" t="s">
        <v>732</v>
      </c>
      <c r="Y1" s="3" t="s">
        <v>733</v>
      </c>
      <c r="Z1" t="s">
        <v>30</v>
      </c>
    </row>
    <row r="2" spans="1:26" x14ac:dyDescent="0.6">
      <c r="A2" s="22">
        <v>36</v>
      </c>
      <c r="B2" t="s">
        <v>49</v>
      </c>
      <c r="C2" s="5">
        <v>44217</v>
      </c>
      <c r="D2" s="7">
        <v>0.51666666666666672</v>
      </c>
      <c r="E2" s="5">
        <v>44227</v>
      </c>
      <c r="F2" t="s">
        <v>218</v>
      </c>
      <c r="G2" t="s">
        <v>351</v>
      </c>
      <c r="H2" t="s">
        <v>242</v>
      </c>
      <c r="I2" t="s">
        <v>67</v>
      </c>
      <c r="J2" s="20">
        <v>5</v>
      </c>
      <c r="K2" s="20">
        <v>4.5</v>
      </c>
      <c r="L2" s="20">
        <v>5</v>
      </c>
      <c r="M2" t="s">
        <v>119</v>
      </c>
      <c r="N2" t="s">
        <v>66</v>
      </c>
      <c r="Q2" t="s">
        <v>704</v>
      </c>
      <c r="R2" t="s">
        <v>707</v>
      </c>
      <c r="S2" s="60" t="s">
        <v>675</v>
      </c>
      <c r="T2" s="60" t="s">
        <v>675</v>
      </c>
      <c r="U2" s="60" t="s">
        <v>675</v>
      </c>
      <c r="V2" s="60" t="s">
        <v>675</v>
      </c>
      <c r="W2" t="s">
        <v>66</v>
      </c>
      <c r="X2" t="s">
        <v>141</v>
      </c>
      <c r="Y2" t="s">
        <v>680</v>
      </c>
    </row>
    <row r="3" spans="1:26" x14ac:dyDescent="0.6">
      <c r="A3" s="22">
        <v>36</v>
      </c>
      <c r="B3" t="s">
        <v>49</v>
      </c>
      <c r="C3" s="5">
        <v>44217</v>
      </c>
      <c r="D3" s="7">
        <v>0.51666666666666672</v>
      </c>
      <c r="E3" s="5">
        <v>44227</v>
      </c>
      <c r="F3" t="s">
        <v>218</v>
      </c>
      <c r="G3" t="s">
        <v>119</v>
      </c>
      <c r="H3" t="s">
        <v>244</v>
      </c>
      <c r="I3" t="s">
        <v>120</v>
      </c>
      <c r="J3" s="20">
        <v>13</v>
      </c>
      <c r="K3" s="20">
        <v>6.5</v>
      </c>
      <c r="L3" s="20">
        <v>6</v>
      </c>
      <c r="M3" t="s">
        <v>119</v>
      </c>
      <c r="N3" t="s">
        <v>66</v>
      </c>
      <c r="Q3" t="s">
        <v>704</v>
      </c>
      <c r="R3" t="s">
        <v>323</v>
      </c>
      <c r="S3" s="60">
        <v>11</v>
      </c>
      <c r="T3" s="60" t="s">
        <v>675</v>
      </c>
      <c r="U3" s="60" t="s">
        <v>677</v>
      </c>
      <c r="V3" s="61">
        <v>44220.333333333336</v>
      </c>
      <c r="W3" t="s">
        <v>66</v>
      </c>
      <c r="X3" t="s">
        <v>141</v>
      </c>
      <c r="Y3" t="s">
        <v>682</v>
      </c>
    </row>
    <row r="4" spans="1:26" x14ac:dyDescent="0.6">
      <c r="A4" s="22">
        <v>40</v>
      </c>
      <c r="B4" t="s">
        <v>53</v>
      </c>
      <c r="C4" s="5">
        <v>44217</v>
      </c>
      <c r="D4" s="7">
        <v>0.52569444444444446</v>
      </c>
      <c r="E4" s="5">
        <v>44227</v>
      </c>
      <c r="F4" t="s">
        <v>223</v>
      </c>
      <c r="G4" t="s">
        <v>352</v>
      </c>
      <c r="H4" t="s">
        <v>242</v>
      </c>
      <c r="I4" t="s">
        <v>47</v>
      </c>
      <c r="J4" s="20">
        <v>11.5</v>
      </c>
      <c r="K4" s="20">
        <v>8.5</v>
      </c>
      <c r="L4" s="20">
        <v>9.5</v>
      </c>
      <c r="M4" t="s">
        <v>117</v>
      </c>
      <c r="O4" t="s">
        <v>46</v>
      </c>
      <c r="Q4" t="s">
        <v>325</v>
      </c>
      <c r="R4" t="s">
        <v>675</v>
      </c>
      <c r="S4" s="60" t="s">
        <v>675</v>
      </c>
      <c r="T4" s="60" t="s">
        <v>675</v>
      </c>
      <c r="U4" s="60" t="s">
        <v>675</v>
      </c>
      <c r="V4" s="60" t="s">
        <v>675</v>
      </c>
      <c r="W4" t="s">
        <v>117</v>
      </c>
      <c r="X4" t="s">
        <v>141</v>
      </c>
      <c r="Y4" t="s">
        <v>675</v>
      </c>
      <c r="Z4" t="s">
        <v>166</v>
      </c>
    </row>
    <row r="5" spans="1:26" x14ac:dyDescent="0.6">
      <c r="A5" s="22">
        <v>40</v>
      </c>
      <c r="B5" t="s">
        <v>53</v>
      </c>
      <c r="C5" s="5">
        <v>44217</v>
      </c>
      <c r="D5" s="7">
        <v>0.52569444444444446</v>
      </c>
      <c r="E5" s="5">
        <v>44227</v>
      </c>
      <c r="F5" t="s">
        <v>223</v>
      </c>
      <c r="G5" t="s">
        <v>117</v>
      </c>
      <c r="H5" t="s">
        <v>244</v>
      </c>
      <c r="I5" t="s">
        <v>120</v>
      </c>
      <c r="J5" s="20">
        <v>14</v>
      </c>
      <c r="K5" s="20">
        <v>9</v>
      </c>
      <c r="L5" s="20">
        <v>7</v>
      </c>
      <c r="M5" t="s">
        <v>117</v>
      </c>
      <c r="O5" t="s">
        <v>46</v>
      </c>
      <c r="Q5" t="s">
        <v>325</v>
      </c>
      <c r="R5" t="s">
        <v>675</v>
      </c>
      <c r="S5" s="60" t="s">
        <v>675</v>
      </c>
      <c r="T5" s="60" t="s">
        <v>675</v>
      </c>
      <c r="U5" s="60" t="s">
        <v>675</v>
      </c>
      <c r="V5" s="60" t="s">
        <v>675</v>
      </c>
      <c r="W5" t="s">
        <v>117</v>
      </c>
      <c r="X5" t="s">
        <v>141</v>
      </c>
      <c r="Y5" t="s">
        <v>680</v>
      </c>
      <c r="Z5" t="s">
        <v>166</v>
      </c>
    </row>
    <row r="6" spans="1:26" x14ac:dyDescent="0.6">
      <c r="A6" s="22">
        <v>43</v>
      </c>
      <c r="B6" s="11" t="s">
        <v>51</v>
      </c>
      <c r="C6" s="5">
        <v>44231</v>
      </c>
      <c r="D6" s="7">
        <v>0.45833333333333331</v>
      </c>
      <c r="E6" s="5">
        <v>44238</v>
      </c>
      <c r="F6" t="s">
        <v>216</v>
      </c>
      <c r="G6" t="s">
        <v>351</v>
      </c>
      <c r="H6" t="s">
        <v>242</v>
      </c>
      <c r="I6" t="s">
        <v>67</v>
      </c>
      <c r="J6" s="20">
        <v>10.5</v>
      </c>
      <c r="K6" s="20">
        <v>5.5</v>
      </c>
      <c r="L6" s="20">
        <v>12.5</v>
      </c>
      <c r="M6" t="s">
        <v>117</v>
      </c>
      <c r="N6" t="s">
        <v>66</v>
      </c>
      <c r="Q6" t="s">
        <v>704</v>
      </c>
      <c r="R6" t="s">
        <v>323</v>
      </c>
      <c r="S6" s="60">
        <v>1</v>
      </c>
      <c r="T6" s="60" t="s">
        <v>675</v>
      </c>
      <c r="U6" s="60" t="s">
        <v>683</v>
      </c>
      <c r="V6" s="61">
        <v>44234.291666666664</v>
      </c>
      <c r="W6" t="s">
        <v>117</v>
      </c>
      <c r="X6" t="s">
        <v>141</v>
      </c>
      <c r="Y6" t="s">
        <v>682</v>
      </c>
      <c r="Z6" t="s">
        <v>175</v>
      </c>
    </row>
    <row r="7" spans="1:26" x14ac:dyDescent="0.6">
      <c r="A7" s="22">
        <v>43</v>
      </c>
      <c r="B7" t="s">
        <v>51</v>
      </c>
      <c r="C7" s="5">
        <v>44231</v>
      </c>
      <c r="D7" s="7">
        <v>0.45833333333333331</v>
      </c>
      <c r="E7" s="5">
        <v>44238</v>
      </c>
      <c r="F7" t="s">
        <v>216</v>
      </c>
      <c r="G7" t="s">
        <v>117</v>
      </c>
      <c r="H7" t="s">
        <v>244</v>
      </c>
      <c r="I7" t="s">
        <v>120</v>
      </c>
      <c r="J7" s="20">
        <v>9</v>
      </c>
      <c r="K7" s="20">
        <v>5</v>
      </c>
      <c r="L7" s="20">
        <v>6</v>
      </c>
      <c r="M7" t="s">
        <v>117</v>
      </c>
      <c r="N7" t="s">
        <v>66</v>
      </c>
      <c r="Q7" t="s">
        <v>704</v>
      </c>
      <c r="R7" t="s">
        <v>323</v>
      </c>
      <c r="S7" s="60">
        <v>8</v>
      </c>
      <c r="T7" s="60" t="s">
        <v>675</v>
      </c>
      <c r="U7" s="60" t="s">
        <v>681</v>
      </c>
      <c r="V7" s="61">
        <v>44233.291666666664</v>
      </c>
      <c r="W7" t="s">
        <v>117</v>
      </c>
      <c r="X7" t="s">
        <v>141</v>
      </c>
      <c r="Y7" t="s">
        <v>682</v>
      </c>
      <c r="Z7" t="s">
        <v>175</v>
      </c>
    </row>
    <row r="8" spans="1:26" x14ac:dyDescent="0.6">
      <c r="A8" s="22">
        <v>47</v>
      </c>
      <c r="B8" t="s">
        <v>50</v>
      </c>
      <c r="C8" s="5">
        <v>44245</v>
      </c>
      <c r="D8" s="7">
        <v>0.5</v>
      </c>
      <c r="E8" s="5">
        <v>44259</v>
      </c>
      <c r="F8" t="s">
        <v>218</v>
      </c>
      <c r="G8" t="s">
        <v>351</v>
      </c>
      <c r="H8" t="s">
        <v>244</v>
      </c>
      <c r="I8" t="s">
        <v>67</v>
      </c>
      <c r="J8" s="20">
        <v>4</v>
      </c>
      <c r="K8" s="20">
        <v>3</v>
      </c>
      <c r="L8" s="20">
        <v>6.5</v>
      </c>
      <c r="M8" t="s">
        <v>66</v>
      </c>
      <c r="N8" t="s">
        <v>119</v>
      </c>
      <c r="Q8" t="s">
        <v>684</v>
      </c>
      <c r="R8" t="s">
        <v>675</v>
      </c>
      <c r="S8" s="60" t="s">
        <v>675</v>
      </c>
      <c r="T8" s="60" t="s">
        <v>675</v>
      </c>
      <c r="U8" s="60" t="s">
        <v>675</v>
      </c>
      <c r="V8" s="60" t="s">
        <v>675</v>
      </c>
      <c r="W8" t="s">
        <v>119</v>
      </c>
      <c r="X8" t="s">
        <v>63</v>
      </c>
      <c r="Y8" t="s">
        <v>680</v>
      </c>
    </row>
    <row r="9" spans="1:26" x14ac:dyDescent="0.6">
      <c r="A9" s="22">
        <v>47</v>
      </c>
      <c r="B9" t="s">
        <v>50</v>
      </c>
      <c r="C9" s="5">
        <v>44245</v>
      </c>
      <c r="D9" s="7">
        <v>0.5</v>
      </c>
      <c r="E9" s="5">
        <v>44259</v>
      </c>
      <c r="F9" t="s">
        <v>218</v>
      </c>
      <c r="G9" t="s">
        <v>119</v>
      </c>
      <c r="H9" t="s">
        <v>242</v>
      </c>
      <c r="I9" t="s">
        <v>120</v>
      </c>
      <c r="J9" s="20">
        <v>5</v>
      </c>
      <c r="K9" s="20">
        <v>3</v>
      </c>
      <c r="L9" s="20">
        <v>2.5</v>
      </c>
      <c r="M9" t="s">
        <v>66</v>
      </c>
      <c r="N9" t="s">
        <v>119</v>
      </c>
      <c r="Q9" t="s">
        <v>684</v>
      </c>
      <c r="R9" t="s">
        <v>675</v>
      </c>
      <c r="S9" s="60" t="s">
        <v>675</v>
      </c>
      <c r="T9" s="60" t="s">
        <v>675</v>
      </c>
      <c r="U9" s="60" t="s">
        <v>675</v>
      </c>
      <c r="V9" s="60" t="s">
        <v>675</v>
      </c>
      <c r="W9" t="s">
        <v>119</v>
      </c>
      <c r="X9" t="s">
        <v>63</v>
      </c>
      <c r="Y9" t="s">
        <v>680</v>
      </c>
    </row>
    <row r="10" spans="1:26" x14ac:dyDescent="0.6">
      <c r="A10" s="22">
        <v>48</v>
      </c>
      <c r="B10" s="11" t="s">
        <v>51</v>
      </c>
      <c r="C10" s="5">
        <v>44245</v>
      </c>
      <c r="D10" s="7">
        <v>0.50486111111111109</v>
      </c>
      <c r="E10" s="5">
        <v>44259</v>
      </c>
      <c r="F10" t="s">
        <v>217</v>
      </c>
      <c r="G10" t="s">
        <v>351</v>
      </c>
      <c r="H10" t="s">
        <v>242</v>
      </c>
      <c r="I10" t="s">
        <v>67</v>
      </c>
      <c r="J10" s="20">
        <v>10</v>
      </c>
      <c r="K10" s="20">
        <v>6</v>
      </c>
      <c r="L10" s="20">
        <v>8.5</v>
      </c>
      <c r="M10" t="s">
        <v>66</v>
      </c>
      <c r="N10" t="s">
        <v>118</v>
      </c>
      <c r="Q10" t="s">
        <v>704</v>
      </c>
      <c r="R10" t="s">
        <v>686</v>
      </c>
      <c r="S10" s="60">
        <v>4</v>
      </c>
      <c r="T10" s="60" t="s">
        <v>675</v>
      </c>
      <c r="U10" s="60" t="s">
        <v>685</v>
      </c>
      <c r="V10" s="61">
        <v>44246.291666666664</v>
      </c>
      <c r="W10" t="s">
        <v>66</v>
      </c>
      <c r="X10" t="s">
        <v>141</v>
      </c>
      <c r="Y10" t="s">
        <v>682</v>
      </c>
      <c r="Z10" t="s">
        <v>225</v>
      </c>
    </row>
    <row r="11" spans="1:26" x14ac:dyDescent="0.6">
      <c r="A11" s="22">
        <v>48</v>
      </c>
      <c r="B11" t="s">
        <v>51</v>
      </c>
      <c r="C11" s="5">
        <v>44245</v>
      </c>
      <c r="D11" s="7">
        <v>0.50486111111111109</v>
      </c>
      <c r="E11" s="5">
        <v>44259</v>
      </c>
      <c r="F11" t="s">
        <v>217</v>
      </c>
      <c r="G11" t="s">
        <v>118</v>
      </c>
      <c r="H11" t="s">
        <v>244</v>
      </c>
      <c r="I11" t="s">
        <v>121</v>
      </c>
      <c r="J11" s="20">
        <v>11.5</v>
      </c>
      <c r="K11" s="20">
        <v>7.5</v>
      </c>
      <c r="L11" s="20">
        <v>8.5</v>
      </c>
      <c r="M11" t="s">
        <v>66</v>
      </c>
      <c r="N11" t="s">
        <v>118</v>
      </c>
      <c r="Q11" t="s">
        <v>704</v>
      </c>
      <c r="R11" t="s">
        <v>675</v>
      </c>
      <c r="S11" s="60" t="s">
        <v>675</v>
      </c>
      <c r="T11" s="60" t="s">
        <v>675</v>
      </c>
      <c r="U11" s="60" t="s">
        <v>675</v>
      </c>
      <c r="V11" s="60" t="s">
        <v>675</v>
      </c>
      <c r="W11" t="s">
        <v>66</v>
      </c>
      <c r="X11" t="s">
        <v>141</v>
      </c>
      <c r="Y11" t="s">
        <v>680</v>
      </c>
      <c r="Z11" t="s">
        <v>225</v>
      </c>
    </row>
    <row r="12" spans="1:26" x14ac:dyDescent="0.6">
      <c r="A12" s="22">
        <v>51</v>
      </c>
      <c r="B12" t="s">
        <v>250</v>
      </c>
      <c r="C12" s="5">
        <v>44273</v>
      </c>
      <c r="D12" s="7">
        <v>0.67291666666666661</v>
      </c>
      <c r="E12" s="5">
        <v>44283</v>
      </c>
      <c r="F12" t="s">
        <v>253</v>
      </c>
      <c r="G12" t="s">
        <v>119</v>
      </c>
      <c r="H12" t="s">
        <v>244</v>
      </c>
      <c r="I12" t="s">
        <v>120</v>
      </c>
      <c r="J12" s="20">
        <v>8</v>
      </c>
      <c r="K12" s="20">
        <v>6.5</v>
      </c>
      <c r="L12" s="20">
        <v>2.5</v>
      </c>
      <c r="M12" t="s">
        <v>117</v>
      </c>
      <c r="N12" s="22" t="s">
        <v>119</v>
      </c>
      <c r="Q12" t="s">
        <v>704</v>
      </c>
      <c r="R12" t="s">
        <v>675</v>
      </c>
      <c r="S12" s="60" t="s">
        <v>675</v>
      </c>
      <c r="T12" s="60" t="s">
        <v>675</v>
      </c>
      <c r="U12" s="60" t="s">
        <v>675</v>
      </c>
      <c r="V12" s="60" t="s">
        <v>675</v>
      </c>
      <c r="W12" t="s">
        <v>119</v>
      </c>
      <c r="X12" t="s">
        <v>63</v>
      </c>
      <c r="Y12" t="s">
        <v>680</v>
      </c>
      <c r="Z12" s="22" t="s">
        <v>263</v>
      </c>
    </row>
    <row r="13" spans="1:26" x14ac:dyDescent="0.6">
      <c r="A13" s="22">
        <v>51</v>
      </c>
      <c r="B13" t="s">
        <v>250</v>
      </c>
      <c r="C13" s="5">
        <v>44273</v>
      </c>
      <c r="D13" s="7">
        <v>0.67291666666666661</v>
      </c>
      <c r="E13" s="5">
        <v>44283</v>
      </c>
      <c r="F13" t="s">
        <v>253</v>
      </c>
      <c r="G13" t="s">
        <v>117</v>
      </c>
      <c r="H13" t="s">
        <v>242</v>
      </c>
      <c r="I13" t="s">
        <v>120</v>
      </c>
      <c r="J13" s="20">
        <v>10</v>
      </c>
      <c r="K13" s="20">
        <v>9.5</v>
      </c>
      <c r="L13" s="20">
        <v>4</v>
      </c>
      <c r="M13" t="s">
        <v>117</v>
      </c>
      <c r="N13" t="s">
        <v>119</v>
      </c>
      <c r="Q13" t="s">
        <v>704</v>
      </c>
      <c r="R13" t="s">
        <v>686</v>
      </c>
      <c r="S13" s="60">
        <v>12</v>
      </c>
      <c r="T13" s="60" t="s">
        <v>675</v>
      </c>
      <c r="U13" s="60" t="s">
        <v>687</v>
      </c>
      <c r="V13" s="61">
        <v>44274.291666666664</v>
      </c>
      <c r="W13" t="s">
        <v>119</v>
      </c>
      <c r="X13" t="s">
        <v>63</v>
      </c>
      <c r="Y13" t="s">
        <v>682</v>
      </c>
      <c r="Z13" s="22" t="s">
        <v>263</v>
      </c>
    </row>
    <row r="14" spans="1:26" x14ac:dyDescent="0.6">
      <c r="A14" s="22">
        <v>55</v>
      </c>
      <c r="B14" t="s">
        <v>260</v>
      </c>
      <c r="C14" s="5">
        <v>44273</v>
      </c>
      <c r="D14" s="7">
        <v>0.67569444444444438</v>
      </c>
      <c r="E14" s="5">
        <v>44283</v>
      </c>
      <c r="F14" t="s">
        <v>253</v>
      </c>
      <c r="G14" t="s">
        <v>119</v>
      </c>
      <c r="H14" t="s">
        <v>242</v>
      </c>
      <c r="I14" t="s">
        <v>120</v>
      </c>
      <c r="J14" s="20">
        <v>3</v>
      </c>
      <c r="K14" s="20">
        <v>2.5</v>
      </c>
      <c r="L14" s="20">
        <v>2</v>
      </c>
      <c r="M14" s="22" t="s">
        <v>117</v>
      </c>
      <c r="N14" t="s">
        <v>119</v>
      </c>
      <c r="Q14" t="s">
        <v>704</v>
      </c>
      <c r="R14" t="s">
        <v>323</v>
      </c>
      <c r="S14" s="60">
        <v>12</v>
      </c>
      <c r="T14" s="60" t="s">
        <v>675</v>
      </c>
      <c r="U14" s="60" t="s">
        <v>687</v>
      </c>
      <c r="V14" s="61">
        <v>44277.291666666664</v>
      </c>
      <c r="W14" t="s">
        <v>119</v>
      </c>
      <c r="X14" t="s">
        <v>63</v>
      </c>
      <c r="Y14" t="s">
        <v>682</v>
      </c>
      <c r="Z14" s="22" t="s">
        <v>265</v>
      </c>
    </row>
    <row r="15" spans="1:26" x14ac:dyDescent="0.6">
      <c r="A15" s="22">
        <v>55</v>
      </c>
      <c r="B15" t="s">
        <v>260</v>
      </c>
      <c r="C15" s="5">
        <v>44273</v>
      </c>
      <c r="D15" s="7">
        <v>0.67569444444444438</v>
      </c>
      <c r="E15" s="5">
        <v>44283</v>
      </c>
      <c r="F15" t="s">
        <v>253</v>
      </c>
      <c r="G15" t="s">
        <v>117</v>
      </c>
      <c r="H15" t="s">
        <v>244</v>
      </c>
      <c r="I15" t="s">
        <v>120</v>
      </c>
      <c r="J15" s="20">
        <v>7.5</v>
      </c>
      <c r="K15" s="20">
        <v>4.5</v>
      </c>
      <c r="L15" s="20">
        <v>4.5</v>
      </c>
      <c r="M15" s="22" t="s">
        <v>117</v>
      </c>
      <c r="N15" s="22" t="s">
        <v>119</v>
      </c>
      <c r="Q15" t="s">
        <v>704</v>
      </c>
      <c r="R15" t="s">
        <v>323</v>
      </c>
      <c r="S15" s="60">
        <v>12</v>
      </c>
      <c r="T15" s="60" t="s">
        <v>675</v>
      </c>
      <c r="U15" s="60" t="s">
        <v>687</v>
      </c>
      <c r="V15" s="61">
        <v>44276.291666666664</v>
      </c>
      <c r="W15" t="s">
        <v>119</v>
      </c>
      <c r="X15" t="s">
        <v>63</v>
      </c>
      <c r="Y15" t="s">
        <v>682</v>
      </c>
      <c r="Z15" s="22" t="s">
        <v>265</v>
      </c>
    </row>
    <row r="16" spans="1:26" x14ac:dyDescent="0.6">
      <c r="A16" s="22">
        <v>61</v>
      </c>
      <c r="B16" t="s">
        <v>260</v>
      </c>
      <c r="C16" s="5">
        <v>44308</v>
      </c>
      <c r="D16" s="7">
        <v>0.49652777777777773</v>
      </c>
      <c r="E16" s="5">
        <v>44315</v>
      </c>
      <c r="F16" t="s">
        <v>216</v>
      </c>
      <c r="G16" t="s">
        <v>351</v>
      </c>
      <c r="H16" t="s">
        <v>242</v>
      </c>
      <c r="I16" t="s">
        <v>67</v>
      </c>
      <c r="J16" s="20">
        <v>14</v>
      </c>
      <c r="K16" s="20">
        <v>11</v>
      </c>
      <c r="L16" s="20">
        <v>12</v>
      </c>
      <c r="M16" t="s">
        <v>66</v>
      </c>
      <c r="N16" s="22" t="s">
        <v>117</v>
      </c>
      <c r="Q16" t="s">
        <v>704</v>
      </c>
      <c r="R16" t="s">
        <v>707</v>
      </c>
      <c r="S16" s="60" t="s">
        <v>675</v>
      </c>
      <c r="T16" s="60" t="s">
        <v>675</v>
      </c>
      <c r="U16" s="60" t="s">
        <v>675</v>
      </c>
      <c r="V16" s="60" t="s">
        <v>688</v>
      </c>
      <c r="W16" t="s">
        <v>117</v>
      </c>
      <c r="X16" t="s">
        <v>63</v>
      </c>
      <c r="Y16" t="s">
        <v>680</v>
      </c>
      <c r="Z16" s="20" t="s">
        <v>310</v>
      </c>
    </row>
    <row r="17" spans="1:26" x14ac:dyDescent="0.6">
      <c r="A17" s="22">
        <v>61</v>
      </c>
      <c r="B17" t="s">
        <v>260</v>
      </c>
      <c r="C17" s="5">
        <v>44308</v>
      </c>
      <c r="D17" s="7">
        <v>0.49652777777777773</v>
      </c>
      <c r="E17" s="5">
        <v>44315</v>
      </c>
      <c r="F17" t="s">
        <v>216</v>
      </c>
      <c r="G17" t="s">
        <v>117</v>
      </c>
      <c r="H17" t="s">
        <v>244</v>
      </c>
      <c r="I17" t="s">
        <v>120</v>
      </c>
      <c r="J17" s="20">
        <v>20.5</v>
      </c>
      <c r="K17" s="20">
        <v>16.5</v>
      </c>
      <c r="L17" s="20">
        <v>10.5</v>
      </c>
      <c r="M17" t="s">
        <v>66</v>
      </c>
      <c r="N17" t="s">
        <v>117</v>
      </c>
      <c r="Q17" t="s">
        <v>704</v>
      </c>
      <c r="R17" t="s">
        <v>323</v>
      </c>
      <c r="S17" s="60">
        <v>4</v>
      </c>
      <c r="T17" s="60" t="s">
        <v>675</v>
      </c>
      <c r="U17" s="60" t="s">
        <v>685</v>
      </c>
      <c r="V17" s="61">
        <v>44314.291666666664</v>
      </c>
      <c r="W17" t="s">
        <v>117</v>
      </c>
      <c r="X17" t="s">
        <v>63</v>
      </c>
      <c r="Y17" t="s">
        <v>682</v>
      </c>
      <c r="Z17" s="20" t="s">
        <v>310</v>
      </c>
    </row>
    <row r="18" spans="1:26" ht="17.05" customHeight="1" x14ac:dyDescent="0.6">
      <c r="A18" s="22">
        <v>62</v>
      </c>
      <c r="B18" t="s">
        <v>49</v>
      </c>
      <c r="C18" s="5">
        <v>44308</v>
      </c>
      <c r="D18" s="7">
        <v>0.49861111111111112</v>
      </c>
      <c r="E18" s="5">
        <v>44315</v>
      </c>
      <c r="F18" t="s">
        <v>253</v>
      </c>
      <c r="G18" t="s">
        <v>119</v>
      </c>
      <c r="H18" t="s">
        <v>242</v>
      </c>
      <c r="I18" t="s">
        <v>120</v>
      </c>
      <c r="J18" s="20">
        <v>6.5</v>
      </c>
      <c r="K18" s="20">
        <v>6</v>
      </c>
      <c r="L18" s="20">
        <v>2.5</v>
      </c>
      <c r="M18" t="s">
        <v>117</v>
      </c>
      <c r="N18" s="22"/>
      <c r="O18" s="22" t="s">
        <v>119</v>
      </c>
      <c r="Q18" t="s">
        <v>325</v>
      </c>
      <c r="R18" t="s">
        <v>675</v>
      </c>
      <c r="S18" s="60" t="s">
        <v>675</v>
      </c>
      <c r="T18" s="60" t="s">
        <v>675</v>
      </c>
      <c r="U18" s="60" t="s">
        <v>675</v>
      </c>
      <c r="V18" s="60" t="s">
        <v>675</v>
      </c>
      <c r="W18" t="s">
        <v>119</v>
      </c>
      <c r="X18" t="s">
        <v>63</v>
      </c>
      <c r="Y18" t="s">
        <v>675</v>
      </c>
      <c r="Z18" s="20"/>
    </row>
    <row r="19" spans="1:26" x14ac:dyDescent="0.6">
      <c r="A19" s="22">
        <v>62</v>
      </c>
      <c r="B19" t="s">
        <v>49</v>
      </c>
      <c r="C19" s="5">
        <v>44308</v>
      </c>
      <c r="D19" s="7">
        <v>0.49861111111111112</v>
      </c>
      <c r="E19" s="5">
        <v>44315</v>
      </c>
      <c r="F19" t="s">
        <v>253</v>
      </c>
      <c r="G19" t="s">
        <v>117</v>
      </c>
      <c r="H19" t="s">
        <v>244</v>
      </c>
      <c r="I19" t="s">
        <v>120</v>
      </c>
      <c r="J19" s="20">
        <v>8.5</v>
      </c>
      <c r="K19" s="20">
        <v>3</v>
      </c>
      <c r="L19" s="20">
        <v>2</v>
      </c>
      <c r="M19" t="s">
        <v>117</v>
      </c>
      <c r="O19" t="s">
        <v>119</v>
      </c>
      <c r="Q19" t="s">
        <v>325</v>
      </c>
      <c r="R19" t="s">
        <v>675</v>
      </c>
      <c r="S19" s="60" t="s">
        <v>675</v>
      </c>
      <c r="T19" s="60" t="s">
        <v>675</v>
      </c>
      <c r="U19" s="60" t="s">
        <v>675</v>
      </c>
      <c r="V19" s="60" t="s">
        <v>675</v>
      </c>
      <c r="W19" t="s">
        <v>119</v>
      </c>
      <c r="X19" t="s">
        <v>63</v>
      </c>
      <c r="Y19" t="s">
        <v>680</v>
      </c>
      <c r="Z19" s="20"/>
    </row>
    <row r="20" spans="1:26" x14ac:dyDescent="0.6">
      <c r="A20" s="22">
        <v>66</v>
      </c>
      <c r="B20" t="s">
        <v>260</v>
      </c>
      <c r="C20" s="5">
        <v>44322</v>
      </c>
      <c r="D20" s="7">
        <v>0.57986111111111105</v>
      </c>
      <c r="E20" s="5">
        <v>44329</v>
      </c>
      <c r="F20" t="s">
        <v>216</v>
      </c>
      <c r="G20" t="s">
        <v>351</v>
      </c>
      <c r="H20" t="s">
        <v>242</v>
      </c>
      <c r="I20" t="s">
        <v>67</v>
      </c>
      <c r="J20" s="20">
        <v>8</v>
      </c>
      <c r="K20" s="20">
        <v>4.5</v>
      </c>
      <c r="L20" s="20">
        <v>5.5</v>
      </c>
      <c r="M20" t="s">
        <v>66</v>
      </c>
      <c r="O20" s="22" t="s">
        <v>117</v>
      </c>
      <c r="Q20" t="s">
        <v>325</v>
      </c>
      <c r="R20" t="s">
        <v>707</v>
      </c>
      <c r="S20" s="60" t="s">
        <v>675</v>
      </c>
      <c r="T20" s="60" t="s">
        <v>675</v>
      </c>
      <c r="U20" s="60" t="s">
        <v>675</v>
      </c>
      <c r="V20" s="60" t="s">
        <v>689</v>
      </c>
      <c r="W20" t="s">
        <v>66</v>
      </c>
      <c r="X20" t="s">
        <v>141</v>
      </c>
      <c r="Y20" t="s">
        <v>680</v>
      </c>
      <c r="Z20" s="20"/>
    </row>
    <row r="21" spans="1:26" x14ac:dyDescent="0.6">
      <c r="A21" s="22">
        <v>66</v>
      </c>
      <c r="B21" t="s">
        <v>260</v>
      </c>
      <c r="C21" s="5">
        <v>44322</v>
      </c>
      <c r="D21" s="7">
        <v>0.57986111111111105</v>
      </c>
      <c r="E21" s="5">
        <v>44329</v>
      </c>
      <c r="F21" t="s">
        <v>216</v>
      </c>
      <c r="G21" t="s">
        <v>117</v>
      </c>
      <c r="H21" t="s">
        <v>244</v>
      </c>
      <c r="I21" t="s">
        <v>120</v>
      </c>
      <c r="J21" s="20">
        <v>11</v>
      </c>
      <c r="K21" s="20">
        <v>5</v>
      </c>
      <c r="L21" s="20">
        <v>4</v>
      </c>
      <c r="M21" t="s">
        <v>66</v>
      </c>
      <c r="O21" t="s">
        <v>117</v>
      </c>
      <c r="Q21" t="s">
        <v>325</v>
      </c>
      <c r="R21" t="s">
        <v>675</v>
      </c>
      <c r="S21" s="60" t="s">
        <v>675</v>
      </c>
      <c r="T21" s="60" t="s">
        <v>675</v>
      </c>
      <c r="U21" s="60" t="s">
        <v>675</v>
      </c>
      <c r="V21" s="60" t="s">
        <v>675</v>
      </c>
      <c r="W21" t="s">
        <v>66</v>
      </c>
      <c r="X21" t="s">
        <v>141</v>
      </c>
      <c r="Y21" t="s">
        <v>675</v>
      </c>
      <c r="Z21" s="20"/>
    </row>
    <row r="22" spans="1:26" x14ac:dyDescent="0.6">
      <c r="A22" s="22">
        <v>67</v>
      </c>
      <c r="B22" t="s">
        <v>49</v>
      </c>
      <c r="C22" s="5">
        <v>44322</v>
      </c>
      <c r="D22" s="7">
        <v>0.48958333333333331</v>
      </c>
      <c r="E22" s="5">
        <v>44329</v>
      </c>
      <c r="F22" t="s">
        <v>216</v>
      </c>
      <c r="G22" t="s">
        <v>351</v>
      </c>
      <c r="H22" t="s">
        <v>244</v>
      </c>
      <c r="I22" t="s">
        <v>67</v>
      </c>
      <c r="J22">
        <v>4.5</v>
      </c>
      <c r="K22" s="20">
        <v>3.5</v>
      </c>
      <c r="L22" s="20">
        <v>7.5</v>
      </c>
      <c r="M22" t="s">
        <v>66</v>
      </c>
      <c r="N22" s="22" t="s">
        <v>117</v>
      </c>
      <c r="Q22" t="s">
        <v>704</v>
      </c>
      <c r="R22" t="s">
        <v>707</v>
      </c>
      <c r="S22" s="60" t="s">
        <v>675</v>
      </c>
      <c r="T22" s="60" t="s">
        <v>675</v>
      </c>
      <c r="U22" s="60" t="s">
        <v>675</v>
      </c>
      <c r="V22" s="60" t="s">
        <v>690</v>
      </c>
      <c r="W22" t="s">
        <v>66</v>
      </c>
      <c r="X22" t="s">
        <v>141</v>
      </c>
      <c r="Y22" t="s">
        <v>680</v>
      </c>
      <c r="Z22" s="20" t="s">
        <v>326</v>
      </c>
    </row>
    <row r="23" spans="1:26" x14ac:dyDescent="0.6">
      <c r="A23" s="22">
        <v>67</v>
      </c>
      <c r="B23" t="s">
        <v>49</v>
      </c>
      <c r="C23" s="5">
        <v>44322</v>
      </c>
      <c r="D23" s="7">
        <v>0.48958333333333331</v>
      </c>
      <c r="E23" s="5">
        <v>44329</v>
      </c>
      <c r="F23" t="s">
        <v>216</v>
      </c>
      <c r="G23" t="s">
        <v>117</v>
      </c>
      <c r="H23" t="s">
        <v>242</v>
      </c>
      <c r="I23" t="s">
        <v>120</v>
      </c>
      <c r="J23" s="20">
        <v>5.5</v>
      </c>
      <c r="K23" s="20">
        <v>3.5</v>
      </c>
      <c r="L23" s="20">
        <v>3.5</v>
      </c>
      <c r="M23" t="s">
        <v>66</v>
      </c>
      <c r="N23" s="22" t="s">
        <v>117</v>
      </c>
      <c r="Q23" t="s">
        <v>704</v>
      </c>
      <c r="R23" t="s">
        <v>323</v>
      </c>
      <c r="S23" s="60">
        <v>12</v>
      </c>
      <c r="T23" s="60" t="s">
        <v>675</v>
      </c>
      <c r="U23" s="60" t="s">
        <v>687</v>
      </c>
      <c r="V23" s="61">
        <v>44326.291666666664</v>
      </c>
      <c r="W23" s="29" t="s">
        <v>66</v>
      </c>
      <c r="X23" s="29" t="s">
        <v>141</v>
      </c>
      <c r="Y23" s="29" t="s">
        <v>682</v>
      </c>
      <c r="Z23" s="20" t="s">
        <v>326</v>
      </c>
    </row>
    <row r="24" spans="1:26" x14ac:dyDescent="0.6">
      <c r="A24" s="22">
        <v>69</v>
      </c>
      <c r="B24" s="11" t="s">
        <v>51</v>
      </c>
      <c r="C24" s="5">
        <v>44322</v>
      </c>
      <c r="D24" s="7">
        <v>0.46875</v>
      </c>
      <c r="E24" s="5">
        <v>44329</v>
      </c>
      <c r="F24" t="s">
        <v>218</v>
      </c>
      <c r="G24" t="s">
        <v>351</v>
      </c>
      <c r="H24" t="s">
        <v>244</v>
      </c>
      <c r="I24" t="s">
        <v>67</v>
      </c>
      <c r="J24" s="20">
        <v>6</v>
      </c>
      <c r="K24" s="20">
        <v>5</v>
      </c>
      <c r="L24" s="20">
        <v>5.5</v>
      </c>
      <c r="M24" t="s">
        <v>66</v>
      </c>
      <c r="O24" s="22" t="s">
        <v>119</v>
      </c>
      <c r="Q24" t="s">
        <v>325</v>
      </c>
      <c r="R24" t="s">
        <v>675</v>
      </c>
      <c r="S24" s="60" t="s">
        <v>675</v>
      </c>
      <c r="T24" s="60" t="s">
        <v>675</v>
      </c>
      <c r="U24" s="60" t="s">
        <v>675</v>
      </c>
      <c r="V24" s="60" t="s">
        <v>675</v>
      </c>
      <c r="W24" t="s">
        <v>675</v>
      </c>
      <c r="X24" t="s">
        <v>675</v>
      </c>
      <c r="Y24" t="s">
        <v>680</v>
      </c>
      <c r="Z24" s="20"/>
    </row>
    <row r="25" spans="1:26" x14ac:dyDescent="0.6">
      <c r="A25" s="22">
        <v>69</v>
      </c>
      <c r="B25" t="s">
        <v>51</v>
      </c>
      <c r="C25" s="5">
        <v>44322</v>
      </c>
      <c r="D25" s="7">
        <v>0.46875</v>
      </c>
      <c r="E25" s="5">
        <v>44329</v>
      </c>
      <c r="F25" t="s">
        <v>218</v>
      </c>
      <c r="G25" t="s">
        <v>119</v>
      </c>
      <c r="H25" t="s">
        <v>242</v>
      </c>
      <c r="I25" t="s">
        <v>120</v>
      </c>
      <c r="J25" s="20">
        <v>6.5</v>
      </c>
      <c r="K25" s="20">
        <v>5</v>
      </c>
      <c r="L25" s="20">
        <v>4</v>
      </c>
      <c r="M25" t="s">
        <v>66</v>
      </c>
      <c r="O25" t="s">
        <v>119</v>
      </c>
      <c r="Q25" t="s">
        <v>325</v>
      </c>
      <c r="R25" t="s">
        <v>675</v>
      </c>
      <c r="S25" s="60" t="s">
        <v>675</v>
      </c>
      <c r="T25" s="60" t="s">
        <v>675</v>
      </c>
      <c r="U25" s="60" t="s">
        <v>675</v>
      </c>
      <c r="V25" s="60" t="s">
        <v>675</v>
      </c>
      <c r="W25" t="s">
        <v>675</v>
      </c>
      <c r="X25" t="s">
        <v>675</v>
      </c>
      <c r="Y25" t="s">
        <v>675</v>
      </c>
      <c r="Z25" s="20"/>
    </row>
    <row r="26" spans="1:26" x14ac:dyDescent="0.6">
      <c r="A26" s="22">
        <v>70</v>
      </c>
      <c r="B26" t="s">
        <v>250</v>
      </c>
      <c r="C26" s="5">
        <v>44322</v>
      </c>
      <c r="D26" s="7">
        <v>0.4548611111111111</v>
      </c>
      <c r="E26" s="5">
        <v>44329</v>
      </c>
      <c r="F26" t="s">
        <v>223</v>
      </c>
      <c r="G26" t="s">
        <v>352</v>
      </c>
      <c r="H26" t="s">
        <v>244</v>
      </c>
      <c r="I26" t="s">
        <v>47</v>
      </c>
      <c r="J26" s="20">
        <v>9.5</v>
      </c>
      <c r="K26" s="20">
        <v>6</v>
      </c>
      <c r="L26" s="20">
        <v>5.5</v>
      </c>
      <c r="M26" t="s">
        <v>117</v>
      </c>
      <c r="O26" s="22" t="s">
        <v>46</v>
      </c>
      <c r="Q26" t="s">
        <v>325</v>
      </c>
      <c r="R26" t="s">
        <v>675</v>
      </c>
      <c r="S26" s="60" t="s">
        <v>675</v>
      </c>
      <c r="T26" s="60" t="s">
        <v>675</v>
      </c>
      <c r="U26" s="60" t="s">
        <v>675</v>
      </c>
      <c r="V26" s="60" t="s">
        <v>675</v>
      </c>
      <c r="W26" t="s">
        <v>352</v>
      </c>
      <c r="X26" t="s">
        <v>63</v>
      </c>
      <c r="Y26" t="s">
        <v>675</v>
      </c>
      <c r="Z26" s="20"/>
    </row>
    <row r="27" spans="1:26" ht="17.05" customHeight="1" x14ac:dyDescent="0.6">
      <c r="A27" s="22">
        <v>70</v>
      </c>
      <c r="B27" t="s">
        <v>250</v>
      </c>
      <c r="C27" s="5">
        <v>44322</v>
      </c>
      <c r="D27" s="7">
        <v>0.4548611111111111</v>
      </c>
      <c r="E27" s="5">
        <v>44329</v>
      </c>
      <c r="F27" t="s">
        <v>223</v>
      </c>
      <c r="G27" t="s">
        <v>117</v>
      </c>
      <c r="H27" t="s">
        <v>242</v>
      </c>
      <c r="I27" t="s">
        <v>120</v>
      </c>
      <c r="J27" s="20">
        <v>18</v>
      </c>
      <c r="K27" s="20">
        <v>9</v>
      </c>
      <c r="L27" s="20">
        <v>8.5</v>
      </c>
      <c r="M27" t="s">
        <v>117</v>
      </c>
      <c r="O27" t="s">
        <v>46</v>
      </c>
      <c r="Q27" t="s">
        <v>325</v>
      </c>
      <c r="R27" t="s">
        <v>323</v>
      </c>
      <c r="S27" s="60">
        <v>12</v>
      </c>
      <c r="T27" s="60" t="s">
        <v>675</v>
      </c>
      <c r="U27" s="60" t="s">
        <v>687</v>
      </c>
      <c r="V27" s="61">
        <v>44324.291666666664</v>
      </c>
      <c r="W27" s="29" t="s">
        <v>352</v>
      </c>
      <c r="X27" s="29" t="s">
        <v>63</v>
      </c>
      <c r="Y27" s="29" t="s">
        <v>682</v>
      </c>
      <c r="Z27" s="20"/>
    </row>
    <row r="28" spans="1:26" x14ac:dyDescent="0.6">
      <c r="A28" s="22">
        <v>74</v>
      </c>
      <c r="B28" t="s">
        <v>49</v>
      </c>
      <c r="C28" s="5">
        <v>44336</v>
      </c>
      <c r="D28" s="7">
        <v>0.49236111111111108</v>
      </c>
      <c r="E28" s="5">
        <v>44343</v>
      </c>
      <c r="F28" t="s">
        <v>218</v>
      </c>
      <c r="G28" t="s">
        <v>351</v>
      </c>
      <c r="H28" t="s">
        <v>242</v>
      </c>
      <c r="I28" t="s">
        <v>67</v>
      </c>
      <c r="J28" s="20">
        <v>10.5</v>
      </c>
      <c r="K28" s="20">
        <v>6.5</v>
      </c>
      <c r="L28" s="20">
        <v>9.5</v>
      </c>
      <c r="M28" t="s">
        <v>66</v>
      </c>
      <c r="O28" s="22" t="s">
        <v>119</v>
      </c>
      <c r="Q28" t="s">
        <v>325</v>
      </c>
      <c r="R28" t="s">
        <v>323</v>
      </c>
      <c r="S28" s="60">
        <v>1</v>
      </c>
      <c r="T28" s="60" t="s">
        <v>675</v>
      </c>
      <c r="U28" s="60" t="s">
        <v>683</v>
      </c>
      <c r="V28" s="61">
        <v>44337.291666666664</v>
      </c>
      <c r="W28" s="29" t="s">
        <v>66</v>
      </c>
      <c r="X28" s="29" t="s">
        <v>141</v>
      </c>
      <c r="Y28" s="29" t="s">
        <v>682</v>
      </c>
      <c r="Z28" s="20"/>
    </row>
    <row r="29" spans="1:26" x14ac:dyDescent="0.6">
      <c r="A29" s="22">
        <v>74</v>
      </c>
      <c r="B29" t="s">
        <v>49</v>
      </c>
      <c r="C29" s="5">
        <v>44336</v>
      </c>
      <c r="D29" s="7">
        <v>0.49236111111111108</v>
      </c>
      <c r="E29" s="5">
        <v>44343</v>
      </c>
      <c r="F29" t="s">
        <v>218</v>
      </c>
      <c r="G29" t="s">
        <v>119</v>
      </c>
      <c r="H29" t="s">
        <v>244</v>
      </c>
      <c r="I29" t="s">
        <v>120</v>
      </c>
      <c r="J29" s="20">
        <v>10.5</v>
      </c>
      <c r="K29" s="20">
        <v>10</v>
      </c>
      <c r="L29" s="20">
        <v>6</v>
      </c>
      <c r="M29" t="s">
        <v>66</v>
      </c>
      <c r="O29" s="22" t="s">
        <v>119</v>
      </c>
      <c r="Q29" t="s">
        <v>325</v>
      </c>
      <c r="R29" t="s">
        <v>675</v>
      </c>
      <c r="S29" s="60" t="s">
        <v>675</v>
      </c>
      <c r="T29" s="60" t="s">
        <v>675</v>
      </c>
      <c r="U29" s="60" t="s">
        <v>675</v>
      </c>
      <c r="V29" s="60" t="s">
        <v>675</v>
      </c>
      <c r="W29" t="s">
        <v>66</v>
      </c>
      <c r="X29" t="s">
        <v>141</v>
      </c>
      <c r="Y29" t="s">
        <v>675</v>
      </c>
      <c r="Z29" s="20"/>
    </row>
    <row r="30" spans="1:26" x14ac:dyDescent="0.6">
      <c r="A30" s="22">
        <v>75</v>
      </c>
      <c r="B30" t="s">
        <v>260</v>
      </c>
      <c r="C30" s="5">
        <v>44336</v>
      </c>
      <c r="D30" s="7">
        <v>0.5</v>
      </c>
      <c r="E30" s="5">
        <v>44343</v>
      </c>
      <c r="F30" t="s">
        <v>216</v>
      </c>
      <c r="G30" t="s">
        <v>351</v>
      </c>
      <c r="H30" t="s">
        <v>242</v>
      </c>
      <c r="I30" t="s">
        <v>67</v>
      </c>
      <c r="J30" s="20">
        <v>11.5</v>
      </c>
      <c r="K30" s="20">
        <v>10</v>
      </c>
      <c r="L30" s="20">
        <v>27</v>
      </c>
      <c r="M30" t="s">
        <v>117</v>
      </c>
      <c r="O30" s="22" t="s">
        <v>132</v>
      </c>
      <c r="Q30" t="s">
        <v>325</v>
      </c>
      <c r="R30" t="s">
        <v>675</v>
      </c>
      <c r="S30" s="60" t="s">
        <v>675</v>
      </c>
      <c r="T30" s="60" t="s">
        <v>675</v>
      </c>
      <c r="U30" s="60" t="s">
        <v>675</v>
      </c>
      <c r="V30" s="60" t="s">
        <v>675</v>
      </c>
      <c r="W30" t="s">
        <v>117</v>
      </c>
      <c r="X30" t="s">
        <v>141</v>
      </c>
      <c r="Y30" t="s">
        <v>675</v>
      </c>
      <c r="Z30" s="20"/>
    </row>
    <row r="31" spans="1:26" x14ac:dyDescent="0.6">
      <c r="A31" s="22">
        <v>75</v>
      </c>
      <c r="B31" t="s">
        <v>260</v>
      </c>
      <c r="C31" s="5">
        <v>44336</v>
      </c>
      <c r="D31" s="7">
        <v>0.5</v>
      </c>
      <c r="E31" s="5">
        <v>44343</v>
      </c>
      <c r="F31" t="s">
        <v>216</v>
      </c>
      <c r="G31" t="s">
        <v>117</v>
      </c>
      <c r="H31" t="s">
        <v>244</v>
      </c>
      <c r="I31" t="s">
        <v>120</v>
      </c>
      <c r="J31" s="20">
        <v>17</v>
      </c>
      <c r="K31" s="20">
        <v>15</v>
      </c>
      <c r="L31" s="20">
        <v>14</v>
      </c>
      <c r="M31" t="s">
        <v>117</v>
      </c>
      <c r="O31" s="22" t="s">
        <v>132</v>
      </c>
      <c r="Q31" t="s">
        <v>325</v>
      </c>
      <c r="R31" t="s">
        <v>323</v>
      </c>
      <c r="S31" s="60">
        <v>13</v>
      </c>
      <c r="T31" s="60" t="s">
        <v>675</v>
      </c>
      <c r="U31" s="60" t="s">
        <v>691</v>
      </c>
      <c r="V31" s="61">
        <v>44342.25</v>
      </c>
      <c r="W31" s="29" t="s">
        <v>117</v>
      </c>
      <c r="X31" s="29" t="s">
        <v>141</v>
      </c>
      <c r="Y31" s="29" t="s">
        <v>682</v>
      </c>
      <c r="Z31" s="20"/>
    </row>
    <row r="32" spans="1:26" x14ac:dyDescent="0.6">
      <c r="A32" s="22">
        <v>76</v>
      </c>
      <c r="B32" t="s">
        <v>250</v>
      </c>
      <c r="C32" s="5">
        <v>44371</v>
      </c>
      <c r="D32" s="7">
        <v>0.57986111111111105</v>
      </c>
      <c r="E32" s="5">
        <v>44378</v>
      </c>
      <c r="F32" t="s">
        <v>217</v>
      </c>
      <c r="G32" t="s">
        <v>118</v>
      </c>
      <c r="H32" t="s">
        <v>242</v>
      </c>
      <c r="I32" t="s">
        <v>121</v>
      </c>
      <c r="J32" s="20">
        <v>8.5</v>
      </c>
      <c r="K32" s="20">
        <v>6</v>
      </c>
      <c r="L32" s="20">
        <v>6</v>
      </c>
      <c r="M32" t="s">
        <v>66</v>
      </c>
      <c r="O32" t="s">
        <v>118</v>
      </c>
      <c r="Q32" t="s">
        <v>325</v>
      </c>
      <c r="R32" t="s">
        <v>675</v>
      </c>
      <c r="S32" s="60" t="s">
        <v>675</v>
      </c>
      <c r="T32" s="60" t="s">
        <v>675</v>
      </c>
      <c r="U32" s="60" t="s">
        <v>675</v>
      </c>
      <c r="V32" s="60" t="s">
        <v>675</v>
      </c>
      <c r="W32" t="s">
        <v>118</v>
      </c>
      <c r="X32" t="s">
        <v>63</v>
      </c>
      <c r="Y32" t="s">
        <v>675</v>
      </c>
      <c r="Z32" s="20"/>
    </row>
    <row r="33" spans="1:26" x14ac:dyDescent="0.6">
      <c r="A33" s="22">
        <v>76</v>
      </c>
      <c r="B33" t="s">
        <v>250</v>
      </c>
      <c r="C33" s="5">
        <v>44371</v>
      </c>
      <c r="D33" s="7">
        <v>0.57986111111111105</v>
      </c>
      <c r="E33" s="5">
        <v>44378</v>
      </c>
      <c r="F33" t="s">
        <v>217</v>
      </c>
      <c r="G33" t="s">
        <v>351</v>
      </c>
      <c r="H33" t="s">
        <v>244</v>
      </c>
      <c r="I33" t="s">
        <v>67</v>
      </c>
      <c r="J33" s="20">
        <v>12</v>
      </c>
      <c r="K33" s="20">
        <v>9.5</v>
      </c>
      <c r="L33" s="20">
        <v>10.5</v>
      </c>
      <c r="M33" t="s">
        <v>66</v>
      </c>
      <c r="O33" t="s">
        <v>118</v>
      </c>
      <c r="Q33" t="s">
        <v>325</v>
      </c>
      <c r="R33" t="s">
        <v>675</v>
      </c>
      <c r="S33" s="60" t="s">
        <v>675</v>
      </c>
      <c r="T33" s="60" t="s">
        <v>675</v>
      </c>
      <c r="U33" s="60" t="s">
        <v>675</v>
      </c>
      <c r="V33" s="60" t="s">
        <v>182</v>
      </c>
      <c r="W33" t="s">
        <v>118</v>
      </c>
      <c r="X33" t="s">
        <v>63</v>
      </c>
      <c r="Y33" t="s">
        <v>680</v>
      </c>
      <c r="Z33" s="20"/>
    </row>
    <row r="34" spans="1:26" x14ac:dyDescent="0.6">
      <c r="A34" s="22">
        <v>77</v>
      </c>
      <c r="B34" t="s">
        <v>51</v>
      </c>
      <c r="C34" s="5">
        <v>44371</v>
      </c>
      <c r="D34" s="7">
        <v>0.58958333333333335</v>
      </c>
      <c r="E34" s="5">
        <v>44378</v>
      </c>
      <c r="F34" t="s">
        <v>217</v>
      </c>
      <c r="G34" t="s">
        <v>118</v>
      </c>
      <c r="H34" t="s">
        <v>244</v>
      </c>
      <c r="I34" t="s">
        <v>121</v>
      </c>
      <c r="J34" s="20">
        <v>5</v>
      </c>
      <c r="K34" s="20">
        <v>2</v>
      </c>
      <c r="L34" s="20">
        <v>4.5</v>
      </c>
      <c r="M34" t="s">
        <v>66</v>
      </c>
      <c r="O34" t="s">
        <v>118</v>
      </c>
      <c r="Q34" t="s">
        <v>325</v>
      </c>
      <c r="R34" t="s">
        <v>675</v>
      </c>
      <c r="S34" s="60" t="s">
        <v>675</v>
      </c>
      <c r="T34" s="60" t="s">
        <v>675</v>
      </c>
      <c r="U34" s="60" t="s">
        <v>675</v>
      </c>
      <c r="V34" s="60" t="s">
        <v>675</v>
      </c>
      <c r="W34" t="s">
        <v>118</v>
      </c>
      <c r="X34" t="s">
        <v>63</v>
      </c>
      <c r="Y34" t="s">
        <v>675</v>
      </c>
      <c r="Z34" s="20"/>
    </row>
    <row r="35" spans="1:26" x14ac:dyDescent="0.6">
      <c r="A35" s="22">
        <v>77</v>
      </c>
      <c r="B35" t="s">
        <v>51</v>
      </c>
      <c r="C35" s="5">
        <v>44371</v>
      </c>
      <c r="D35" s="7">
        <v>0.58958333333333335</v>
      </c>
      <c r="E35" s="5">
        <v>44378</v>
      </c>
      <c r="F35" t="s">
        <v>217</v>
      </c>
      <c r="G35" t="s">
        <v>351</v>
      </c>
      <c r="H35" t="s">
        <v>242</v>
      </c>
      <c r="I35" t="s">
        <v>67</v>
      </c>
      <c r="J35" s="20">
        <v>7.5</v>
      </c>
      <c r="K35" s="20">
        <v>4</v>
      </c>
      <c r="L35" s="20">
        <v>8</v>
      </c>
      <c r="M35" t="s">
        <v>66</v>
      </c>
      <c r="O35" t="s">
        <v>118</v>
      </c>
      <c r="Q35" t="s">
        <v>325</v>
      </c>
      <c r="R35" t="s">
        <v>707</v>
      </c>
      <c r="S35" s="60" t="s">
        <v>675</v>
      </c>
      <c r="T35" s="60" t="s">
        <v>675</v>
      </c>
      <c r="U35" s="60" t="s">
        <v>675</v>
      </c>
      <c r="V35" s="60" t="s">
        <v>692</v>
      </c>
      <c r="W35" t="s">
        <v>118</v>
      </c>
      <c r="X35" t="s">
        <v>63</v>
      </c>
      <c r="Y35" t="s">
        <v>680</v>
      </c>
      <c r="Z35" s="20"/>
    </row>
    <row r="36" spans="1:26" x14ac:dyDescent="0.6">
      <c r="A36" s="22">
        <v>83</v>
      </c>
      <c r="B36" t="s">
        <v>50</v>
      </c>
      <c r="C36" s="5">
        <v>44399</v>
      </c>
      <c r="D36" s="7">
        <v>0.57222222222222219</v>
      </c>
      <c r="E36" s="5">
        <v>44406</v>
      </c>
      <c r="F36" t="s">
        <v>217</v>
      </c>
      <c r="G36" t="s">
        <v>118</v>
      </c>
      <c r="H36" t="s">
        <v>242</v>
      </c>
      <c r="I36" t="s">
        <v>121</v>
      </c>
      <c r="J36" s="20">
        <v>2.5</v>
      </c>
      <c r="K36" s="20">
        <v>2</v>
      </c>
      <c r="L36" s="20">
        <v>4.5</v>
      </c>
      <c r="M36" t="s">
        <v>66</v>
      </c>
      <c r="O36" t="s">
        <v>118</v>
      </c>
      <c r="Q36" t="s">
        <v>325</v>
      </c>
      <c r="R36" t="s">
        <v>675</v>
      </c>
      <c r="S36" s="60" t="s">
        <v>675</v>
      </c>
      <c r="T36" s="60" t="s">
        <v>675</v>
      </c>
      <c r="U36" s="60" t="s">
        <v>675</v>
      </c>
      <c r="V36" s="60" t="s">
        <v>675</v>
      </c>
      <c r="W36" t="s">
        <v>118</v>
      </c>
      <c r="X36" t="s">
        <v>63</v>
      </c>
      <c r="Y36" t="s">
        <v>675</v>
      </c>
      <c r="Z36" s="20"/>
    </row>
    <row r="37" spans="1:26" x14ac:dyDescent="0.6">
      <c r="A37" s="22">
        <v>83</v>
      </c>
      <c r="B37" t="s">
        <v>50</v>
      </c>
      <c r="C37" s="5">
        <v>44399</v>
      </c>
      <c r="D37" s="7">
        <v>0.57222222222222219</v>
      </c>
      <c r="E37" s="5">
        <v>44406</v>
      </c>
      <c r="F37" t="s">
        <v>217</v>
      </c>
      <c r="G37" t="s">
        <v>351</v>
      </c>
      <c r="H37" t="s">
        <v>244</v>
      </c>
      <c r="I37" t="s">
        <v>67</v>
      </c>
      <c r="J37" s="20">
        <v>4</v>
      </c>
      <c r="K37" s="20">
        <v>1.5</v>
      </c>
      <c r="L37" s="20">
        <v>5</v>
      </c>
      <c r="M37" t="s">
        <v>66</v>
      </c>
      <c r="O37" t="s">
        <v>118</v>
      </c>
      <c r="Q37" t="s">
        <v>325</v>
      </c>
      <c r="R37" t="s">
        <v>675</v>
      </c>
      <c r="S37" s="60" t="s">
        <v>675</v>
      </c>
      <c r="T37" s="60" t="s">
        <v>675</v>
      </c>
      <c r="U37" s="60" t="s">
        <v>675</v>
      </c>
      <c r="V37" s="60" t="s">
        <v>675</v>
      </c>
      <c r="W37" t="s">
        <v>118</v>
      </c>
      <c r="X37" t="s">
        <v>63</v>
      </c>
      <c r="Y37" t="s">
        <v>680</v>
      </c>
      <c r="Z37" s="20"/>
    </row>
    <row r="38" spans="1:26" x14ac:dyDescent="0.6">
      <c r="A38" s="22">
        <v>84</v>
      </c>
      <c r="B38" t="s">
        <v>49</v>
      </c>
      <c r="C38" s="5">
        <v>44399</v>
      </c>
      <c r="D38" s="7">
        <v>0.58124999999999993</v>
      </c>
      <c r="E38" s="5">
        <v>44406</v>
      </c>
      <c r="F38" t="s">
        <v>223</v>
      </c>
      <c r="G38" t="s">
        <v>352</v>
      </c>
      <c r="H38" t="s">
        <v>242</v>
      </c>
      <c r="I38" t="s">
        <v>47</v>
      </c>
      <c r="J38" s="20">
        <v>12</v>
      </c>
      <c r="K38" s="20">
        <v>9.5</v>
      </c>
      <c r="L38" s="20">
        <v>11</v>
      </c>
      <c r="M38" t="s">
        <v>117</v>
      </c>
      <c r="O38" t="s">
        <v>46</v>
      </c>
      <c r="Q38" t="s">
        <v>325</v>
      </c>
      <c r="R38" t="s">
        <v>675</v>
      </c>
      <c r="S38" s="60" t="s">
        <v>675</v>
      </c>
      <c r="T38" s="60" t="s">
        <v>675</v>
      </c>
      <c r="U38" s="60" t="s">
        <v>675</v>
      </c>
      <c r="V38" s="60" t="s">
        <v>675</v>
      </c>
      <c r="W38" t="s">
        <v>117</v>
      </c>
      <c r="X38" t="s">
        <v>141</v>
      </c>
      <c r="Y38" t="s">
        <v>675</v>
      </c>
      <c r="Z38" s="20"/>
    </row>
    <row r="39" spans="1:26" x14ac:dyDescent="0.6">
      <c r="A39" s="22">
        <v>84</v>
      </c>
      <c r="B39" t="s">
        <v>49</v>
      </c>
      <c r="C39" s="5">
        <v>44399</v>
      </c>
      <c r="D39" s="7">
        <v>0.58124999999999993</v>
      </c>
      <c r="E39" s="5">
        <v>44406</v>
      </c>
      <c r="F39" t="s">
        <v>223</v>
      </c>
      <c r="G39" t="s">
        <v>117</v>
      </c>
      <c r="H39" t="s">
        <v>244</v>
      </c>
      <c r="I39" t="s">
        <v>120</v>
      </c>
      <c r="J39" s="20">
        <v>15.5</v>
      </c>
      <c r="K39" s="20">
        <v>10</v>
      </c>
      <c r="L39" s="20">
        <v>6.5</v>
      </c>
      <c r="M39" t="s">
        <v>117</v>
      </c>
      <c r="O39" t="s">
        <v>46</v>
      </c>
      <c r="Q39" t="s">
        <v>325</v>
      </c>
      <c r="R39" t="s">
        <v>675</v>
      </c>
      <c r="S39" s="60" t="s">
        <v>675</v>
      </c>
      <c r="T39" s="60" t="s">
        <v>675</v>
      </c>
      <c r="U39" s="60" t="s">
        <v>675</v>
      </c>
      <c r="V39" s="60" t="s">
        <v>675</v>
      </c>
      <c r="W39" t="s">
        <v>117</v>
      </c>
      <c r="X39" t="s">
        <v>141</v>
      </c>
      <c r="Y39" t="s">
        <v>680</v>
      </c>
      <c r="Z39" s="20"/>
    </row>
    <row r="40" spans="1:26" x14ac:dyDescent="0.6">
      <c r="A40" s="22">
        <v>85</v>
      </c>
      <c r="B40" t="s">
        <v>260</v>
      </c>
      <c r="C40" s="5">
        <v>44399</v>
      </c>
      <c r="D40" s="7">
        <v>0.58680555555555558</v>
      </c>
      <c r="E40" s="5">
        <v>44406</v>
      </c>
      <c r="F40" t="s">
        <v>223</v>
      </c>
      <c r="G40" t="s">
        <v>352</v>
      </c>
      <c r="H40" t="s">
        <v>242</v>
      </c>
      <c r="I40" t="s">
        <v>47</v>
      </c>
      <c r="J40" s="20">
        <v>7.5</v>
      </c>
      <c r="K40" s="20">
        <v>6.5</v>
      </c>
      <c r="L40" s="20">
        <v>4</v>
      </c>
      <c r="M40" t="s">
        <v>117</v>
      </c>
      <c r="O40" t="s">
        <v>46</v>
      </c>
      <c r="Q40" t="s">
        <v>325</v>
      </c>
      <c r="R40" t="s">
        <v>675</v>
      </c>
      <c r="S40" s="60" t="s">
        <v>675</v>
      </c>
      <c r="T40" s="60" t="s">
        <v>675</v>
      </c>
      <c r="U40" s="60" t="s">
        <v>675</v>
      </c>
      <c r="V40" s="60" t="s">
        <v>675</v>
      </c>
      <c r="W40" t="s">
        <v>117</v>
      </c>
      <c r="X40" t="s">
        <v>141</v>
      </c>
      <c r="Y40" t="s">
        <v>675</v>
      </c>
      <c r="Z40" s="20"/>
    </row>
    <row r="41" spans="1:26" x14ac:dyDescent="0.6">
      <c r="A41" s="22">
        <v>85</v>
      </c>
      <c r="B41" t="s">
        <v>260</v>
      </c>
      <c r="C41" s="5">
        <v>44399</v>
      </c>
      <c r="D41" s="7">
        <v>0.58680555555555558</v>
      </c>
      <c r="E41" s="5">
        <v>44406</v>
      </c>
      <c r="F41" t="s">
        <v>223</v>
      </c>
      <c r="G41" t="s">
        <v>117</v>
      </c>
      <c r="H41" t="s">
        <v>244</v>
      </c>
      <c r="I41" t="s">
        <v>120</v>
      </c>
      <c r="J41" s="20">
        <v>11.5</v>
      </c>
      <c r="K41" s="20">
        <v>6.5</v>
      </c>
      <c r="L41" s="20">
        <v>5.5</v>
      </c>
      <c r="M41" t="s">
        <v>117</v>
      </c>
      <c r="O41" t="s">
        <v>46</v>
      </c>
      <c r="Q41" t="s">
        <v>325</v>
      </c>
      <c r="R41" t="s">
        <v>323</v>
      </c>
      <c r="S41" s="60">
        <v>1</v>
      </c>
      <c r="T41" s="60" t="s">
        <v>675</v>
      </c>
      <c r="U41" s="60" t="s">
        <v>683</v>
      </c>
      <c r="V41" s="61">
        <v>44400.25</v>
      </c>
      <c r="W41" s="29" t="s">
        <v>117</v>
      </c>
      <c r="X41" s="29" t="s">
        <v>141</v>
      </c>
      <c r="Y41" s="29" t="s">
        <v>682</v>
      </c>
      <c r="Z41" s="20"/>
    </row>
    <row r="42" spans="1:26" x14ac:dyDescent="0.6">
      <c r="A42" s="22">
        <v>86</v>
      </c>
      <c r="B42" t="s">
        <v>250</v>
      </c>
      <c r="C42" s="5">
        <v>44413</v>
      </c>
      <c r="D42" s="7">
        <v>0.59652777777777777</v>
      </c>
      <c r="E42" s="5">
        <v>44420</v>
      </c>
      <c r="F42" t="s">
        <v>223</v>
      </c>
      <c r="G42" t="s">
        <v>352</v>
      </c>
      <c r="H42" t="s">
        <v>244</v>
      </c>
      <c r="I42" t="s">
        <v>47</v>
      </c>
      <c r="J42" s="20">
        <v>12</v>
      </c>
      <c r="K42" s="20">
        <v>9</v>
      </c>
      <c r="L42" s="20">
        <v>9</v>
      </c>
      <c r="M42" t="s">
        <v>117</v>
      </c>
      <c r="O42" t="s">
        <v>46</v>
      </c>
      <c r="Q42" t="s">
        <v>325</v>
      </c>
      <c r="R42" t="s">
        <v>675</v>
      </c>
      <c r="S42" s="60" t="s">
        <v>675</v>
      </c>
      <c r="T42" s="60" t="s">
        <v>675</v>
      </c>
      <c r="U42" s="60" t="s">
        <v>675</v>
      </c>
      <c r="V42" s="60" t="s">
        <v>675</v>
      </c>
      <c r="W42" t="s">
        <v>117</v>
      </c>
      <c r="X42" t="s">
        <v>141</v>
      </c>
      <c r="Y42" t="s">
        <v>675</v>
      </c>
      <c r="Z42" s="20"/>
    </row>
    <row r="43" spans="1:26" x14ac:dyDescent="0.6">
      <c r="A43" s="22">
        <v>86</v>
      </c>
      <c r="B43" t="s">
        <v>250</v>
      </c>
      <c r="C43" s="5">
        <v>44413</v>
      </c>
      <c r="D43" s="7">
        <v>0.59652777777777777</v>
      </c>
      <c r="E43" s="5">
        <v>44420</v>
      </c>
      <c r="F43" t="s">
        <v>223</v>
      </c>
      <c r="G43" t="s">
        <v>117</v>
      </c>
      <c r="H43" t="s">
        <v>242</v>
      </c>
      <c r="I43" t="s">
        <v>120</v>
      </c>
      <c r="J43" s="20">
        <v>22</v>
      </c>
      <c r="K43" s="20">
        <v>13</v>
      </c>
      <c r="L43" s="20">
        <v>9</v>
      </c>
      <c r="M43" t="s">
        <v>117</v>
      </c>
      <c r="O43" t="s">
        <v>46</v>
      </c>
      <c r="Q43" t="s">
        <v>325</v>
      </c>
      <c r="R43" t="s">
        <v>323</v>
      </c>
      <c r="S43" s="60">
        <v>2</v>
      </c>
      <c r="T43" s="60" t="s">
        <v>675</v>
      </c>
      <c r="U43" s="60" t="s">
        <v>693</v>
      </c>
      <c r="V43" s="61">
        <v>44414.25</v>
      </c>
      <c r="W43" t="s">
        <v>117</v>
      </c>
      <c r="X43" t="s">
        <v>141</v>
      </c>
      <c r="Y43" t="s">
        <v>682</v>
      </c>
      <c r="Z43" s="20"/>
    </row>
    <row r="44" spans="1:26" x14ac:dyDescent="0.6">
      <c r="A44" s="22">
        <v>87</v>
      </c>
      <c r="B44" t="s">
        <v>51</v>
      </c>
      <c r="C44" s="5">
        <v>44413</v>
      </c>
      <c r="D44" s="7">
        <v>0.58958333333333335</v>
      </c>
      <c r="E44" s="5">
        <v>44420</v>
      </c>
      <c r="F44" t="s">
        <v>223</v>
      </c>
      <c r="G44" t="s">
        <v>352</v>
      </c>
      <c r="H44" t="s">
        <v>242</v>
      </c>
      <c r="I44" t="s">
        <v>47</v>
      </c>
      <c r="J44" s="20">
        <v>12</v>
      </c>
      <c r="K44" s="20">
        <v>9.5</v>
      </c>
      <c r="L44" s="20">
        <v>9</v>
      </c>
      <c r="M44" t="s">
        <v>117</v>
      </c>
      <c r="O44" t="s">
        <v>46</v>
      </c>
      <c r="Q44" t="s">
        <v>325</v>
      </c>
      <c r="R44" t="s">
        <v>675</v>
      </c>
      <c r="S44" s="60" t="s">
        <v>675</v>
      </c>
      <c r="T44" s="60" t="s">
        <v>675</v>
      </c>
      <c r="U44" s="60" t="s">
        <v>675</v>
      </c>
      <c r="V44" s="60" t="s">
        <v>675</v>
      </c>
      <c r="W44" t="s">
        <v>117</v>
      </c>
      <c r="X44" t="s">
        <v>141</v>
      </c>
      <c r="Y44" t="s">
        <v>675</v>
      </c>
      <c r="Z44" s="20"/>
    </row>
    <row r="45" spans="1:26" x14ac:dyDescent="0.6">
      <c r="A45" s="22">
        <v>87</v>
      </c>
      <c r="B45" t="s">
        <v>51</v>
      </c>
      <c r="C45" s="5">
        <v>44413</v>
      </c>
      <c r="D45" s="7">
        <v>0.58958333333333335</v>
      </c>
      <c r="E45" s="5">
        <v>44420</v>
      </c>
      <c r="F45" t="s">
        <v>223</v>
      </c>
      <c r="G45" t="s">
        <v>117</v>
      </c>
      <c r="H45" t="s">
        <v>244</v>
      </c>
      <c r="I45" t="s">
        <v>120</v>
      </c>
      <c r="J45" s="20">
        <v>12</v>
      </c>
      <c r="K45" s="20">
        <v>9</v>
      </c>
      <c r="L45" s="20">
        <v>9</v>
      </c>
      <c r="M45" t="s">
        <v>117</v>
      </c>
      <c r="O45" t="s">
        <v>46</v>
      </c>
      <c r="Q45" t="s">
        <v>325</v>
      </c>
      <c r="R45" t="s">
        <v>675</v>
      </c>
      <c r="S45" s="60" t="s">
        <v>675</v>
      </c>
      <c r="T45" s="60" t="s">
        <v>675</v>
      </c>
      <c r="U45" s="60" t="s">
        <v>675</v>
      </c>
      <c r="V45" s="60" t="s">
        <v>675</v>
      </c>
      <c r="W45" t="s">
        <v>117</v>
      </c>
      <c r="X45" t="s">
        <v>141</v>
      </c>
      <c r="Y45" t="s">
        <v>680</v>
      </c>
      <c r="Z45" s="20"/>
    </row>
    <row r="46" spans="1:26" x14ac:dyDescent="0.6">
      <c r="A46" s="22">
        <v>88</v>
      </c>
      <c r="B46" t="s">
        <v>50</v>
      </c>
      <c r="C46" s="5">
        <v>44413</v>
      </c>
      <c r="D46" s="7">
        <v>0.59722222222222221</v>
      </c>
      <c r="E46" s="5">
        <v>44420</v>
      </c>
      <c r="F46" t="s">
        <v>217</v>
      </c>
      <c r="G46" t="s">
        <v>351</v>
      </c>
      <c r="H46" t="s">
        <v>242</v>
      </c>
      <c r="I46" t="s">
        <v>67</v>
      </c>
      <c r="J46" s="20">
        <v>6</v>
      </c>
      <c r="K46" s="20">
        <v>4</v>
      </c>
      <c r="L46" s="20">
        <v>8</v>
      </c>
      <c r="M46" t="s">
        <v>66</v>
      </c>
      <c r="O46" t="s">
        <v>118</v>
      </c>
      <c r="Q46" t="s">
        <v>325</v>
      </c>
      <c r="R46" t="s">
        <v>707</v>
      </c>
      <c r="S46" s="60" t="s">
        <v>675</v>
      </c>
      <c r="T46" s="60" t="s">
        <v>675</v>
      </c>
      <c r="U46" s="60" t="s">
        <v>675</v>
      </c>
      <c r="V46" s="60" t="s">
        <v>694</v>
      </c>
      <c r="W46" t="s">
        <v>675</v>
      </c>
      <c r="X46" t="s">
        <v>675</v>
      </c>
      <c r="Y46" t="s">
        <v>680</v>
      </c>
      <c r="Z46" s="20" t="s">
        <v>370</v>
      </c>
    </row>
    <row r="47" spans="1:26" x14ac:dyDescent="0.6">
      <c r="A47" s="22">
        <v>88</v>
      </c>
      <c r="B47" t="s">
        <v>50</v>
      </c>
      <c r="C47" s="5">
        <v>44413</v>
      </c>
      <c r="D47" s="7">
        <v>0.59722222222222221</v>
      </c>
      <c r="E47" s="5">
        <v>44420</v>
      </c>
      <c r="F47" t="s">
        <v>217</v>
      </c>
      <c r="G47" t="s">
        <v>118</v>
      </c>
      <c r="H47" t="s">
        <v>244</v>
      </c>
      <c r="I47" t="s">
        <v>121</v>
      </c>
      <c r="J47" s="20">
        <v>8</v>
      </c>
      <c r="K47" s="20">
        <v>6</v>
      </c>
      <c r="L47" s="20">
        <v>10</v>
      </c>
      <c r="M47" t="s">
        <v>66</v>
      </c>
      <c r="O47" t="s">
        <v>118</v>
      </c>
      <c r="Q47" t="s">
        <v>325</v>
      </c>
      <c r="R47" t="s">
        <v>675</v>
      </c>
      <c r="S47" s="60" t="s">
        <v>675</v>
      </c>
      <c r="T47" s="60" t="s">
        <v>675</v>
      </c>
      <c r="U47" s="60" t="s">
        <v>675</v>
      </c>
      <c r="V47" s="60" t="s">
        <v>675</v>
      </c>
      <c r="W47" t="s">
        <v>675</v>
      </c>
      <c r="X47" t="s">
        <v>675</v>
      </c>
      <c r="Y47" t="s">
        <v>675</v>
      </c>
      <c r="Z47" s="20" t="s">
        <v>370</v>
      </c>
    </row>
    <row r="48" spans="1:26" x14ac:dyDescent="0.6">
      <c r="A48" s="22">
        <v>89</v>
      </c>
      <c r="B48" t="s">
        <v>49</v>
      </c>
      <c r="C48" s="5">
        <v>44413</v>
      </c>
      <c r="D48" s="7">
        <v>0.6020833333333333</v>
      </c>
      <c r="E48" s="5">
        <v>44420</v>
      </c>
      <c r="F48" t="s">
        <v>217</v>
      </c>
      <c r="G48" t="s">
        <v>351</v>
      </c>
      <c r="H48" t="s">
        <v>242</v>
      </c>
      <c r="I48" t="s">
        <v>67</v>
      </c>
      <c r="J48" s="20">
        <v>4</v>
      </c>
      <c r="K48" s="20">
        <v>2</v>
      </c>
      <c r="L48" s="20">
        <v>6.5</v>
      </c>
      <c r="M48" t="s">
        <v>66</v>
      </c>
      <c r="O48" t="s">
        <v>118</v>
      </c>
      <c r="Q48" t="s">
        <v>325</v>
      </c>
      <c r="R48" t="s">
        <v>675</v>
      </c>
      <c r="S48" s="60" t="s">
        <v>675</v>
      </c>
      <c r="T48" s="60" t="s">
        <v>675</v>
      </c>
      <c r="U48" s="60" t="s">
        <v>675</v>
      </c>
      <c r="V48" s="60" t="s">
        <v>675</v>
      </c>
      <c r="W48" t="s">
        <v>118</v>
      </c>
      <c r="X48" t="s">
        <v>63</v>
      </c>
      <c r="Y48" t="s">
        <v>680</v>
      </c>
      <c r="Z48" s="20"/>
    </row>
    <row r="49" spans="1:26" x14ac:dyDescent="0.6">
      <c r="A49" s="22">
        <v>89</v>
      </c>
      <c r="B49" t="s">
        <v>49</v>
      </c>
      <c r="C49" s="5">
        <v>44413</v>
      </c>
      <c r="D49" s="7">
        <v>0.6020833333333333</v>
      </c>
      <c r="E49" s="5">
        <v>44420</v>
      </c>
      <c r="F49" t="s">
        <v>217</v>
      </c>
      <c r="G49" t="s">
        <v>118</v>
      </c>
      <c r="H49" t="s">
        <v>244</v>
      </c>
      <c r="I49" t="s">
        <v>121</v>
      </c>
      <c r="J49" s="20">
        <v>4</v>
      </c>
      <c r="K49" s="20">
        <v>2.5</v>
      </c>
      <c r="L49" s="20">
        <v>6.5</v>
      </c>
      <c r="M49" t="s">
        <v>66</v>
      </c>
      <c r="O49" t="s">
        <v>118</v>
      </c>
      <c r="Q49" t="s">
        <v>325</v>
      </c>
      <c r="R49" t="s">
        <v>675</v>
      </c>
      <c r="S49" s="60" t="s">
        <v>675</v>
      </c>
      <c r="T49" s="60" t="s">
        <v>675</v>
      </c>
      <c r="U49" s="60" t="s">
        <v>675</v>
      </c>
      <c r="V49" s="60" t="s">
        <v>675</v>
      </c>
      <c r="W49" t="s">
        <v>118</v>
      </c>
      <c r="X49" t="s">
        <v>63</v>
      </c>
      <c r="Y49" t="s">
        <v>675</v>
      </c>
      <c r="Z49" s="20"/>
    </row>
    <row r="50" spans="1:26" x14ac:dyDescent="0.6">
      <c r="A50" s="22">
        <v>93</v>
      </c>
      <c r="B50" t="s">
        <v>374</v>
      </c>
      <c r="C50" s="5">
        <v>44455</v>
      </c>
      <c r="D50" s="7">
        <v>0.58194444444444449</v>
      </c>
      <c r="E50" s="5">
        <v>44462</v>
      </c>
      <c r="F50" t="s">
        <v>215</v>
      </c>
      <c r="G50" t="s">
        <v>351</v>
      </c>
      <c r="H50" t="s">
        <v>244</v>
      </c>
      <c r="I50" t="s">
        <v>120</v>
      </c>
      <c r="J50" s="20">
        <v>13</v>
      </c>
      <c r="K50" s="20">
        <v>12</v>
      </c>
      <c r="L50" s="20">
        <v>11</v>
      </c>
      <c r="M50" t="s">
        <v>66</v>
      </c>
      <c r="O50" t="s">
        <v>98</v>
      </c>
      <c r="Q50" t="s">
        <v>325</v>
      </c>
      <c r="R50" t="s">
        <v>675</v>
      </c>
      <c r="S50" s="60" t="s">
        <v>675</v>
      </c>
      <c r="T50" s="60" t="s">
        <v>675</v>
      </c>
      <c r="U50" s="60" t="s">
        <v>675</v>
      </c>
      <c r="V50" s="60" t="s">
        <v>675</v>
      </c>
      <c r="W50" t="s">
        <v>66</v>
      </c>
      <c r="X50" t="s">
        <v>141</v>
      </c>
      <c r="Y50" t="s">
        <v>680</v>
      </c>
      <c r="Z50" s="20" t="s">
        <v>382</v>
      </c>
    </row>
    <row r="51" spans="1:26" x14ac:dyDescent="0.6">
      <c r="A51" s="22">
        <v>93</v>
      </c>
      <c r="B51" t="s">
        <v>374</v>
      </c>
      <c r="C51" s="5">
        <v>44455</v>
      </c>
      <c r="D51" s="7">
        <v>0.58194444444444449</v>
      </c>
      <c r="E51" s="5">
        <v>44462</v>
      </c>
      <c r="F51" t="s">
        <v>215</v>
      </c>
      <c r="G51" t="s">
        <v>98</v>
      </c>
      <c r="H51" t="s">
        <v>242</v>
      </c>
      <c r="I51" t="s">
        <v>120</v>
      </c>
      <c r="J51" s="20">
        <v>8.5</v>
      </c>
      <c r="K51" s="20">
        <v>7</v>
      </c>
      <c r="L51" s="20">
        <v>3</v>
      </c>
      <c r="M51" t="s">
        <v>66</v>
      </c>
      <c r="O51" t="s">
        <v>98</v>
      </c>
      <c r="Q51" t="s">
        <v>325</v>
      </c>
      <c r="R51" t="s">
        <v>675</v>
      </c>
      <c r="S51" s="60" t="s">
        <v>675</v>
      </c>
      <c r="T51" s="60" t="s">
        <v>675</v>
      </c>
      <c r="U51" s="60" t="s">
        <v>675</v>
      </c>
      <c r="V51" s="60" t="s">
        <v>675</v>
      </c>
      <c r="W51" t="s">
        <v>66</v>
      </c>
      <c r="X51" t="s">
        <v>141</v>
      </c>
      <c r="Y51" t="s">
        <v>675</v>
      </c>
      <c r="Z51" s="20" t="s">
        <v>382</v>
      </c>
    </row>
    <row r="52" spans="1:26" x14ac:dyDescent="0.6">
      <c r="A52" s="22">
        <v>94</v>
      </c>
      <c r="B52" t="s">
        <v>49</v>
      </c>
      <c r="C52" s="5">
        <v>44455</v>
      </c>
      <c r="D52" s="7">
        <v>0.5854166666666667</v>
      </c>
      <c r="E52" s="5">
        <v>44462</v>
      </c>
      <c r="F52" t="s">
        <v>222</v>
      </c>
      <c r="G52" t="s">
        <v>117</v>
      </c>
      <c r="H52" t="s">
        <v>242</v>
      </c>
      <c r="I52" t="s">
        <v>120</v>
      </c>
      <c r="J52" s="20">
        <v>20</v>
      </c>
      <c r="K52" s="20">
        <v>14.5</v>
      </c>
      <c r="L52" s="20">
        <v>12</v>
      </c>
      <c r="M52" t="s">
        <v>117</v>
      </c>
      <c r="O52" t="s">
        <v>118</v>
      </c>
      <c r="Q52" t="s">
        <v>325</v>
      </c>
      <c r="R52" t="s">
        <v>323</v>
      </c>
      <c r="S52" s="60">
        <v>1</v>
      </c>
      <c r="T52" s="60" t="s">
        <v>675</v>
      </c>
      <c r="U52" s="60" t="s">
        <v>683</v>
      </c>
      <c r="V52" s="61">
        <v>44461.75</v>
      </c>
      <c r="W52" t="s">
        <v>117</v>
      </c>
      <c r="X52" t="s">
        <v>141</v>
      </c>
      <c r="Y52" t="s">
        <v>695</v>
      </c>
      <c r="Z52" s="20" t="s">
        <v>384</v>
      </c>
    </row>
    <row r="53" spans="1:26" x14ac:dyDescent="0.6">
      <c r="A53" s="22">
        <v>94</v>
      </c>
      <c r="B53" t="s">
        <v>49</v>
      </c>
      <c r="C53" s="5">
        <v>44455</v>
      </c>
      <c r="D53" s="7">
        <v>0.5854166666666667</v>
      </c>
      <c r="E53" s="5">
        <v>44462</v>
      </c>
      <c r="F53" t="s">
        <v>222</v>
      </c>
      <c r="G53" t="s">
        <v>118</v>
      </c>
      <c r="H53" t="s">
        <v>244</v>
      </c>
      <c r="I53" t="s">
        <v>121</v>
      </c>
      <c r="J53" s="20">
        <v>26</v>
      </c>
      <c r="K53" s="20">
        <v>11</v>
      </c>
      <c r="L53" s="20">
        <v>9.5</v>
      </c>
      <c r="M53" t="s">
        <v>117</v>
      </c>
      <c r="O53" t="s">
        <v>118</v>
      </c>
      <c r="Q53" t="s">
        <v>325</v>
      </c>
      <c r="R53" t="s">
        <v>675</v>
      </c>
      <c r="S53" s="60" t="s">
        <v>675</v>
      </c>
      <c r="T53" s="60" t="s">
        <v>675</v>
      </c>
      <c r="U53" s="60" t="s">
        <v>675</v>
      </c>
      <c r="V53" s="60" t="s">
        <v>675</v>
      </c>
      <c r="W53" t="s">
        <v>117</v>
      </c>
      <c r="X53" t="s">
        <v>141</v>
      </c>
      <c r="Y53" t="s">
        <v>675</v>
      </c>
      <c r="Z53" s="20"/>
    </row>
    <row r="54" spans="1:26" x14ac:dyDescent="0.6">
      <c r="A54" s="22">
        <v>96</v>
      </c>
      <c r="B54" t="s">
        <v>250</v>
      </c>
      <c r="C54" s="5">
        <v>44469</v>
      </c>
      <c r="D54" s="7">
        <v>0.56527777777777777</v>
      </c>
      <c r="E54" s="5">
        <v>44476</v>
      </c>
      <c r="F54" t="s">
        <v>386</v>
      </c>
      <c r="G54" t="s">
        <v>351</v>
      </c>
      <c r="H54" t="s">
        <v>244</v>
      </c>
      <c r="I54" t="s">
        <v>67</v>
      </c>
      <c r="J54" s="20">
        <v>7</v>
      </c>
      <c r="K54" s="20">
        <v>4</v>
      </c>
      <c r="L54" s="20">
        <v>7</v>
      </c>
      <c r="M54" t="s">
        <v>66</v>
      </c>
      <c r="O54" t="s">
        <v>288</v>
      </c>
      <c r="Q54" t="s">
        <v>325</v>
      </c>
      <c r="R54" t="s">
        <v>675</v>
      </c>
      <c r="S54" s="60" t="s">
        <v>675</v>
      </c>
      <c r="T54" s="60" t="s">
        <v>675</v>
      </c>
      <c r="U54" s="60" t="s">
        <v>675</v>
      </c>
      <c r="V54" s="60" t="s">
        <v>675</v>
      </c>
      <c r="W54" t="s">
        <v>675</v>
      </c>
      <c r="X54" t="s">
        <v>675</v>
      </c>
      <c r="Y54" t="s">
        <v>680</v>
      </c>
      <c r="Z54" s="20"/>
    </row>
    <row r="55" spans="1:26" x14ac:dyDescent="0.6">
      <c r="A55" s="22">
        <v>96</v>
      </c>
      <c r="B55" t="s">
        <v>250</v>
      </c>
      <c r="C55" s="5">
        <v>44469</v>
      </c>
      <c r="D55" s="7">
        <v>0.56527777777777777</v>
      </c>
      <c r="E55" s="5">
        <v>44476</v>
      </c>
      <c r="F55" t="s">
        <v>386</v>
      </c>
      <c r="G55" t="s">
        <v>288</v>
      </c>
      <c r="H55" t="s">
        <v>242</v>
      </c>
      <c r="I55" t="s">
        <v>120</v>
      </c>
      <c r="J55" s="20">
        <v>6</v>
      </c>
      <c r="K55" s="20">
        <v>3.5</v>
      </c>
      <c r="L55" s="20">
        <v>2</v>
      </c>
      <c r="M55" t="s">
        <v>66</v>
      </c>
      <c r="O55" t="s">
        <v>288</v>
      </c>
      <c r="Q55" t="s">
        <v>325</v>
      </c>
      <c r="R55" t="s">
        <v>675</v>
      </c>
      <c r="S55" s="60" t="s">
        <v>675</v>
      </c>
      <c r="T55" s="60" t="s">
        <v>675</v>
      </c>
      <c r="U55" s="60" t="s">
        <v>675</v>
      </c>
      <c r="V55" s="60" t="s">
        <v>675</v>
      </c>
      <c r="W55" t="s">
        <v>675</v>
      </c>
      <c r="X55" t="s">
        <v>675</v>
      </c>
      <c r="Y55" t="s">
        <v>675</v>
      </c>
      <c r="Z55" s="20" t="s">
        <v>391</v>
      </c>
    </row>
    <row r="56" spans="1:26" x14ac:dyDescent="0.6">
      <c r="A56" s="22">
        <v>98</v>
      </c>
      <c r="B56" t="s">
        <v>374</v>
      </c>
      <c r="C56" s="5">
        <v>44469</v>
      </c>
      <c r="D56" s="7">
        <v>0.59027777777777779</v>
      </c>
      <c r="E56" s="5">
        <v>44476</v>
      </c>
      <c r="F56" t="s">
        <v>386</v>
      </c>
      <c r="G56" t="s">
        <v>351</v>
      </c>
      <c r="H56" t="s">
        <v>242</v>
      </c>
      <c r="I56" t="s">
        <v>67</v>
      </c>
      <c r="J56" s="20">
        <v>5</v>
      </c>
      <c r="K56" s="20">
        <v>1.5</v>
      </c>
      <c r="L56" s="20">
        <v>4</v>
      </c>
      <c r="M56" t="s">
        <v>66</v>
      </c>
      <c r="N56" t="s">
        <v>288</v>
      </c>
      <c r="Q56" t="s">
        <v>704</v>
      </c>
      <c r="R56" t="s">
        <v>707</v>
      </c>
      <c r="S56" s="60" t="s">
        <v>675</v>
      </c>
      <c r="T56" s="60" t="s">
        <v>675</v>
      </c>
      <c r="U56" s="60" t="s">
        <v>675</v>
      </c>
      <c r="V56" s="60" t="s">
        <v>697</v>
      </c>
      <c r="W56" t="s">
        <v>288</v>
      </c>
      <c r="X56" t="s">
        <v>63</v>
      </c>
      <c r="Y56" t="s">
        <v>680</v>
      </c>
      <c r="Z56" s="20"/>
    </row>
    <row r="57" spans="1:26" x14ac:dyDescent="0.6">
      <c r="A57" s="22">
        <v>98</v>
      </c>
      <c r="B57" t="s">
        <v>374</v>
      </c>
      <c r="C57" s="5">
        <v>44469</v>
      </c>
      <c r="D57" s="7">
        <v>0.59027777777777779</v>
      </c>
      <c r="E57" s="5">
        <v>44476</v>
      </c>
      <c r="F57" t="s">
        <v>386</v>
      </c>
      <c r="G57" t="s">
        <v>288</v>
      </c>
      <c r="H57" t="s">
        <v>244</v>
      </c>
      <c r="I57" t="s">
        <v>120</v>
      </c>
      <c r="J57" s="20">
        <v>11.5</v>
      </c>
      <c r="K57" s="20">
        <v>4.5</v>
      </c>
      <c r="L57" s="20">
        <v>5</v>
      </c>
      <c r="M57" t="s">
        <v>66</v>
      </c>
      <c r="N57" t="s">
        <v>288</v>
      </c>
      <c r="Q57" t="s">
        <v>704</v>
      </c>
      <c r="R57" t="s">
        <v>323</v>
      </c>
      <c r="S57" s="60">
        <v>5</v>
      </c>
      <c r="T57" s="60" t="s">
        <v>675</v>
      </c>
      <c r="U57" s="60" t="s">
        <v>696</v>
      </c>
      <c r="V57" s="61">
        <v>44474.270833333336</v>
      </c>
      <c r="W57" t="s">
        <v>288</v>
      </c>
      <c r="X57" t="s">
        <v>63</v>
      </c>
      <c r="Y57" t="s">
        <v>682</v>
      </c>
      <c r="Z57" s="20"/>
    </row>
    <row r="58" spans="1:26" x14ac:dyDescent="0.6">
      <c r="A58" s="22">
        <v>99</v>
      </c>
      <c r="B58" t="s">
        <v>49</v>
      </c>
      <c r="C58" s="5">
        <v>44469</v>
      </c>
      <c r="D58" s="7">
        <v>0.59236111111111112</v>
      </c>
      <c r="E58" s="5">
        <v>44476</v>
      </c>
      <c r="F58" t="s">
        <v>386</v>
      </c>
      <c r="G58" t="s">
        <v>351</v>
      </c>
      <c r="H58" t="s">
        <v>242</v>
      </c>
      <c r="I58" t="s">
        <v>67</v>
      </c>
      <c r="J58" s="20">
        <v>8</v>
      </c>
      <c r="K58" s="20">
        <v>4.5</v>
      </c>
      <c r="L58" s="20">
        <v>7.5</v>
      </c>
      <c r="M58" t="s">
        <v>66</v>
      </c>
      <c r="O58" t="s">
        <v>288</v>
      </c>
      <c r="Q58" t="s">
        <v>325</v>
      </c>
      <c r="R58" t="s">
        <v>323</v>
      </c>
      <c r="S58" s="60">
        <v>2</v>
      </c>
      <c r="T58" s="60" t="s">
        <v>675</v>
      </c>
      <c r="U58" s="60" t="s">
        <v>693</v>
      </c>
      <c r="V58" s="61">
        <v>44470.270833333336</v>
      </c>
      <c r="W58" t="s">
        <v>66</v>
      </c>
      <c r="X58" t="s">
        <v>141</v>
      </c>
      <c r="Y58" t="s">
        <v>682</v>
      </c>
      <c r="Z58" s="20"/>
    </row>
    <row r="59" spans="1:26" x14ac:dyDescent="0.6">
      <c r="A59" s="22">
        <v>99</v>
      </c>
      <c r="B59" t="s">
        <v>49</v>
      </c>
      <c r="C59" s="5">
        <v>44469</v>
      </c>
      <c r="D59" s="7">
        <v>0.59236111111111112</v>
      </c>
      <c r="E59" s="5">
        <v>44476</v>
      </c>
      <c r="F59" t="s">
        <v>386</v>
      </c>
      <c r="G59" t="s">
        <v>288</v>
      </c>
      <c r="H59" t="s">
        <v>244</v>
      </c>
      <c r="I59" t="s">
        <v>120</v>
      </c>
      <c r="J59" s="20">
        <v>12</v>
      </c>
      <c r="K59" s="20">
        <v>6</v>
      </c>
      <c r="L59" s="20">
        <v>8</v>
      </c>
      <c r="M59" t="s">
        <v>66</v>
      </c>
      <c r="O59" t="s">
        <v>288</v>
      </c>
      <c r="Q59" t="s">
        <v>325</v>
      </c>
      <c r="R59" t="s">
        <v>675</v>
      </c>
      <c r="S59" s="60" t="s">
        <v>675</v>
      </c>
      <c r="T59" s="60" t="s">
        <v>675</v>
      </c>
      <c r="U59" s="60" t="s">
        <v>675</v>
      </c>
      <c r="V59" s="60" t="s">
        <v>675</v>
      </c>
      <c r="W59" t="s">
        <v>66</v>
      </c>
      <c r="X59" t="s">
        <v>141</v>
      </c>
      <c r="Y59" t="s">
        <v>675</v>
      </c>
      <c r="Z59" s="20" t="s">
        <v>391</v>
      </c>
    </row>
    <row r="60" spans="1:26" x14ac:dyDescent="0.6">
      <c r="A60" s="22">
        <v>100</v>
      </c>
      <c r="B60" t="s">
        <v>260</v>
      </c>
      <c r="C60" s="5">
        <v>44469</v>
      </c>
      <c r="D60" s="7">
        <v>0.57986111111111105</v>
      </c>
      <c r="E60" s="5">
        <v>44476</v>
      </c>
      <c r="F60" t="s">
        <v>390</v>
      </c>
      <c r="G60" t="s">
        <v>351</v>
      </c>
      <c r="H60" t="s">
        <v>242</v>
      </c>
      <c r="I60" t="s">
        <v>67</v>
      </c>
      <c r="J60" s="20">
        <v>6.5</v>
      </c>
      <c r="K60" s="20">
        <v>10</v>
      </c>
      <c r="L60" s="20">
        <v>7.5</v>
      </c>
      <c r="M60" t="s">
        <v>284</v>
      </c>
      <c r="N60" t="s">
        <v>66</v>
      </c>
      <c r="Q60" t="s">
        <v>704</v>
      </c>
      <c r="R60" t="s">
        <v>323</v>
      </c>
      <c r="S60" s="60">
        <v>1</v>
      </c>
      <c r="T60" s="60" t="s">
        <v>675</v>
      </c>
      <c r="U60" s="60" t="s">
        <v>683</v>
      </c>
      <c r="V60" s="61">
        <v>44471.270833333336</v>
      </c>
      <c r="W60" s="30" t="s">
        <v>284</v>
      </c>
      <c r="X60" s="30" t="s">
        <v>141</v>
      </c>
      <c r="Y60" s="30" t="s">
        <v>682</v>
      </c>
      <c r="Z60" s="20"/>
    </row>
    <row r="61" spans="1:26" x14ac:dyDescent="0.6">
      <c r="A61" s="22">
        <v>100</v>
      </c>
      <c r="B61" t="s">
        <v>260</v>
      </c>
      <c r="C61" s="5">
        <v>44469</v>
      </c>
      <c r="D61" s="7">
        <v>0.57986111111111105</v>
      </c>
      <c r="E61" s="5">
        <v>44476</v>
      </c>
      <c r="F61" t="s">
        <v>390</v>
      </c>
      <c r="G61" t="s">
        <v>284</v>
      </c>
      <c r="H61" t="s">
        <v>244</v>
      </c>
      <c r="I61" t="s">
        <v>120</v>
      </c>
      <c r="J61" s="20">
        <v>8</v>
      </c>
      <c r="K61" s="20">
        <v>7</v>
      </c>
      <c r="L61" s="20">
        <v>3.5</v>
      </c>
      <c r="M61" t="s">
        <v>284</v>
      </c>
      <c r="N61" t="s">
        <v>66</v>
      </c>
      <c r="Q61" t="s">
        <v>704</v>
      </c>
      <c r="R61" t="s">
        <v>323</v>
      </c>
      <c r="S61" s="60">
        <v>12</v>
      </c>
      <c r="T61" s="60" t="s">
        <v>675</v>
      </c>
      <c r="U61" s="60" t="s">
        <v>687</v>
      </c>
      <c r="V61" s="61">
        <v>44470.270833333336</v>
      </c>
      <c r="W61" t="s">
        <v>284</v>
      </c>
      <c r="X61" t="s">
        <v>141</v>
      </c>
      <c r="Y61" t="s">
        <v>682</v>
      </c>
      <c r="Z61" s="20"/>
    </row>
    <row r="62" spans="1:26" x14ac:dyDescent="0.6">
      <c r="A62" s="22">
        <v>101</v>
      </c>
      <c r="B62" t="s">
        <v>250</v>
      </c>
      <c r="C62" s="5">
        <v>44484</v>
      </c>
      <c r="D62" s="7">
        <v>0.47361111111111115</v>
      </c>
      <c r="E62" s="5">
        <v>44491</v>
      </c>
      <c r="F62" t="s">
        <v>401</v>
      </c>
      <c r="G62" t="s">
        <v>351</v>
      </c>
      <c r="H62" t="s">
        <v>244</v>
      </c>
      <c r="I62" t="s">
        <v>67</v>
      </c>
      <c r="J62" s="20">
        <v>6.5</v>
      </c>
      <c r="K62" s="20">
        <v>4</v>
      </c>
      <c r="L62" s="20">
        <v>5</v>
      </c>
      <c r="M62" t="s">
        <v>287</v>
      </c>
      <c r="N62" t="s">
        <v>66</v>
      </c>
      <c r="Q62" t="s">
        <v>704</v>
      </c>
      <c r="R62" t="s">
        <v>707</v>
      </c>
      <c r="S62" s="60" t="s">
        <v>675</v>
      </c>
      <c r="T62" s="60" t="s">
        <v>675</v>
      </c>
      <c r="U62" s="60" t="s">
        <v>675</v>
      </c>
      <c r="V62" s="60" t="s">
        <v>698</v>
      </c>
      <c r="W62" t="s">
        <v>287</v>
      </c>
      <c r="X62" t="s">
        <v>141</v>
      </c>
      <c r="Y62" t="s">
        <v>680</v>
      </c>
      <c r="Z62" s="20"/>
    </row>
    <row r="63" spans="1:26" x14ac:dyDescent="0.6">
      <c r="A63" s="22">
        <v>101</v>
      </c>
      <c r="B63" t="s">
        <v>250</v>
      </c>
      <c r="C63" s="5">
        <v>44484</v>
      </c>
      <c r="D63" s="7">
        <v>0.47361111111111115</v>
      </c>
      <c r="E63" s="5">
        <v>44491</v>
      </c>
      <c r="F63" t="s">
        <v>401</v>
      </c>
      <c r="G63" t="s">
        <v>287</v>
      </c>
      <c r="H63" t="s">
        <v>242</v>
      </c>
      <c r="I63" t="s">
        <v>402</v>
      </c>
      <c r="J63" s="20">
        <v>8.5</v>
      </c>
      <c r="K63" s="20">
        <v>2</v>
      </c>
      <c r="L63" s="20">
        <v>8.5</v>
      </c>
      <c r="M63" t="s">
        <v>287</v>
      </c>
      <c r="N63" t="s">
        <v>66</v>
      </c>
      <c r="Q63" t="s">
        <v>704</v>
      </c>
      <c r="R63" t="s">
        <v>323</v>
      </c>
      <c r="S63" s="60">
        <v>12</v>
      </c>
      <c r="T63" s="60" t="s">
        <v>675</v>
      </c>
      <c r="U63" s="60" t="s">
        <v>687</v>
      </c>
      <c r="V63" s="61">
        <v>44485.270833333336</v>
      </c>
      <c r="W63" t="s">
        <v>287</v>
      </c>
      <c r="X63" t="s">
        <v>141</v>
      </c>
      <c r="Y63" t="s">
        <v>682</v>
      </c>
      <c r="Z63" s="20"/>
    </row>
    <row r="64" spans="1:26" x14ac:dyDescent="0.6">
      <c r="A64" s="22">
        <v>103</v>
      </c>
      <c r="B64" t="s">
        <v>374</v>
      </c>
      <c r="C64" s="5">
        <v>44484</v>
      </c>
      <c r="D64" s="7">
        <v>0.41944444444444445</v>
      </c>
      <c r="E64" s="5">
        <v>44491</v>
      </c>
      <c r="F64" t="s">
        <v>401</v>
      </c>
      <c r="G64" t="s">
        <v>351</v>
      </c>
      <c r="H64" t="s">
        <v>242</v>
      </c>
      <c r="I64" t="s">
        <v>67</v>
      </c>
      <c r="J64" s="20">
        <v>7</v>
      </c>
      <c r="K64" s="20">
        <v>4</v>
      </c>
      <c r="L64" s="20">
        <v>4.5</v>
      </c>
      <c r="M64" t="s">
        <v>287</v>
      </c>
      <c r="N64" t="s">
        <v>66</v>
      </c>
      <c r="Q64" t="s">
        <v>704</v>
      </c>
      <c r="R64" t="s">
        <v>707</v>
      </c>
      <c r="S64" s="60" t="s">
        <v>675</v>
      </c>
      <c r="T64" s="60" t="s">
        <v>675</v>
      </c>
      <c r="U64" s="60" t="s">
        <v>675</v>
      </c>
      <c r="V64" s="60" t="s">
        <v>698</v>
      </c>
      <c r="W64" t="s">
        <v>287</v>
      </c>
      <c r="X64" t="s">
        <v>141</v>
      </c>
      <c r="Y64" t="s">
        <v>680</v>
      </c>
      <c r="Z64" s="20"/>
    </row>
    <row r="65" spans="1:26" x14ac:dyDescent="0.6">
      <c r="A65" s="22">
        <v>103</v>
      </c>
      <c r="B65" t="s">
        <v>374</v>
      </c>
      <c r="C65" s="5">
        <v>44484</v>
      </c>
      <c r="D65" s="7">
        <v>0.41944444444444445</v>
      </c>
      <c r="E65" s="5">
        <v>44491</v>
      </c>
      <c r="F65" t="s">
        <v>401</v>
      </c>
      <c r="G65" t="s">
        <v>287</v>
      </c>
      <c r="H65" t="s">
        <v>244</v>
      </c>
      <c r="I65" t="s">
        <v>402</v>
      </c>
      <c r="J65" s="20">
        <v>5</v>
      </c>
      <c r="K65" s="20">
        <v>2</v>
      </c>
      <c r="L65" s="20">
        <v>5.5</v>
      </c>
      <c r="M65" t="s">
        <v>287</v>
      </c>
      <c r="N65" t="s">
        <v>66</v>
      </c>
      <c r="Q65" t="s">
        <v>704</v>
      </c>
      <c r="R65" t="s">
        <v>323</v>
      </c>
      <c r="S65" s="60">
        <v>1</v>
      </c>
      <c r="T65" s="60" t="s">
        <v>675</v>
      </c>
      <c r="U65" s="60" t="s">
        <v>683</v>
      </c>
      <c r="V65" s="61">
        <v>44485.270833333336</v>
      </c>
      <c r="W65" t="s">
        <v>287</v>
      </c>
      <c r="X65" t="s">
        <v>141</v>
      </c>
      <c r="Y65" t="s">
        <v>682</v>
      </c>
      <c r="Z65" s="20"/>
    </row>
    <row r="66" spans="1:26" x14ac:dyDescent="0.6">
      <c r="A66" s="22">
        <v>105</v>
      </c>
      <c r="B66" t="s">
        <v>260</v>
      </c>
      <c r="C66" s="5">
        <v>44484</v>
      </c>
      <c r="D66" s="7">
        <v>0.4694444444444445</v>
      </c>
      <c r="E66" s="5">
        <v>44491</v>
      </c>
      <c r="F66" t="s">
        <v>401</v>
      </c>
      <c r="G66" t="s">
        <v>351</v>
      </c>
      <c r="H66" t="s">
        <v>242</v>
      </c>
      <c r="I66" t="s">
        <v>67</v>
      </c>
      <c r="J66" s="20">
        <v>8.5</v>
      </c>
      <c r="K66" s="20">
        <v>5.5</v>
      </c>
      <c r="L66" s="20">
        <v>12</v>
      </c>
      <c r="M66" t="s">
        <v>66</v>
      </c>
      <c r="N66" t="s">
        <v>287</v>
      </c>
      <c r="Q66" t="s">
        <v>704</v>
      </c>
      <c r="R66" t="s">
        <v>707</v>
      </c>
      <c r="S66" s="60" t="s">
        <v>675</v>
      </c>
      <c r="T66" s="60" t="s">
        <v>675</v>
      </c>
      <c r="U66" s="60" t="s">
        <v>675</v>
      </c>
      <c r="V66" s="60" t="s">
        <v>699</v>
      </c>
      <c r="W66" t="s">
        <v>66</v>
      </c>
      <c r="X66" t="s">
        <v>141</v>
      </c>
      <c r="Y66" t="s">
        <v>680</v>
      </c>
      <c r="Z66" s="20"/>
    </row>
    <row r="67" spans="1:26" x14ac:dyDescent="0.6">
      <c r="A67" s="22">
        <v>105</v>
      </c>
      <c r="B67" t="s">
        <v>260</v>
      </c>
      <c r="C67" s="5">
        <v>44484</v>
      </c>
      <c r="D67" s="7">
        <v>0.4694444444444445</v>
      </c>
      <c r="E67" s="5">
        <v>44491</v>
      </c>
      <c r="F67" t="s">
        <v>401</v>
      </c>
      <c r="G67" t="s">
        <v>287</v>
      </c>
      <c r="H67" t="s">
        <v>244</v>
      </c>
      <c r="I67" t="s">
        <v>120</v>
      </c>
      <c r="J67" s="20">
        <v>5</v>
      </c>
      <c r="K67" s="20">
        <v>1.5</v>
      </c>
      <c r="L67" s="20">
        <v>11</v>
      </c>
      <c r="M67" t="s">
        <v>66</v>
      </c>
      <c r="N67" t="s">
        <v>287</v>
      </c>
      <c r="Q67" t="s">
        <v>704</v>
      </c>
      <c r="R67" t="s">
        <v>323</v>
      </c>
      <c r="S67" s="60">
        <v>7</v>
      </c>
      <c r="T67" s="60" t="s">
        <v>675</v>
      </c>
      <c r="U67" s="60" t="s">
        <v>700</v>
      </c>
      <c r="V67" s="61">
        <v>44486.270833333336</v>
      </c>
      <c r="W67" t="s">
        <v>66</v>
      </c>
      <c r="X67" t="s">
        <v>141</v>
      </c>
      <c r="Y67" t="s">
        <v>682</v>
      </c>
      <c r="Z67" s="20"/>
    </row>
    <row r="68" spans="1:26" x14ac:dyDescent="0.6">
      <c r="A68" s="22">
        <v>106</v>
      </c>
      <c r="B68" t="s">
        <v>250</v>
      </c>
      <c r="C68" s="5">
        <v>44498</v>
      </c>
      <c r="D68" s="7">
        <v>0.4236111111111111</v>
      </c>
      <c r="E68" s="5">
        <v>44505</v>
      </c>
      <c r="F68" t="s">
        <v>220</v>
      </c>
      <c r="G68" t="s">
        <v>118</v>
      </c>
      <c r="H68" t="s">
        <v>242</v>
      </c>
      <c r="I68" t="s">
        <v>121</v>
      </c>
      <c r="J68" s="20">
        <v>6.5</v>
      </c>
      <c r="K68" s="20">
        <v>4</v>
      </c>
      <c r="L68" s="20">
        <v>12</v>
      </c>
      <c r="M68" t="s">
        <v>119</v>
      </c>
      <c r="O68" t="s">
        <v>118</v>
      </c>
      <c r="Q68" t="s">
        <v>325</v>
      </c>
      <c r="R68" t="s">
        <v>675</v>
      </c>
      <c r="S68" s="60" t="s">
        <v>675</v>
      </c>
      <c r="T68" s="60" t="s">
        <v>675</v>
      </c>
      <c r="U68" s="60" t="s">
        <v>675</v>
      </c>
      <c r="V68" s="60" t="s">
        <v>675</v>
      </c>
      <c r="W68" t="s">
        <v>119</v>
      </c>
      <c r="X68" t="s">
        <v>141</v>
      </c>
      <c r="Y68" t="s">
        <v>675</v>
      </c>
      <c r="Z68" s="20"/>
    </row>
    <row r="69" spans="1:26" x14ac:dyDescent="0.6">
      <c r="A69" s="22">
        <v>106</v>
      </c>
      <c r="B69" t="s">
        <v>250</v>
      </c>
      <c r="C69" s="5">
        <v>44498</v>
      </c>
      <c r="D69" s="7">
        <v>0.4236111111111111</v>
      </c>
      <c r="E69" s="5">
        <v>44505</v>
      </c>
      <c r="F69" t="s">
        <v>220</v>
      </c>
      <c r="G69" t="s">
        <v>119</v>
      </c>
      <c r="H69" t="s">
        <v>244</v>
      </c>
      <c r="I69" t="s">
        <v>120</v>
      </c>
      <c r="J69" s="20">
        <v>12</v>
      </c>
      <c r="K69" s="20">
        <v>10.5</v>
      </c>
      <c r="L69" s="20">
        <v>4</v>
      </c>
      <c r="M69" t="s">
        <v>119</v>
      </c>
      <c r="O69" t="s">
        <v>118</v>
      </c>
      <c r="Q69" t="s">
        <v>325</v>
      </c>
      <c r="R69" t="s">
        <v>701</v>
      </c>
      <c r="S69" s="60">
        <v>5</v>
      </c>
      <c r="T69" s="60">
        <v>182</v>
      </c>
      <c r="U69" s="60" t="s">
        <v>696</v>
      </c>
      <c r="V69" s="61">
        <v>44499.270833333336</v>
      </c>
      <c r="W69" t="s">
        <v>119</v>
      </c>
      <c r="X69" t="s">
        <v>141</v>
      </c>
      <c r="Y69" t="s">
        <v>682</v>
      </c>
      <c r="Z69" s="20"/>
    </row>
    <row r="70" spans="1:26" x14ac:dyDescent="0.6">
      <c r="A70" s="22">
        <v>107</v>
      </c>
      <c r="B70" t="s">
        <v>373</v>
      </c>
      <c r="C70" s="5">
        <v>44498</v>
      </c>
      <c r="D70" s="7">
        <v>0.4201388888888889</v>
      </c>
      <c r="E70" s="5">
        <v>44505</v>
      </c>
      <c r="F70" t="s">
        <v>386</v>
      </c>
      <c r="G70" t="s">
        <v>351</v>
      </c>
      <c r="H70" t="s">
        <v>242</v>
      </c>
      <c r="I70" t="s">
        <v>67</v>
      </c>
      <c r="J70" s="20">
        <v>7.5</v>
      </c>
      <c r="K70" s="20">
        <v>5</v>
      </c>
      <c r="L70" s="20">
        <v>8</v>
      </c>
      <c r="M70" t="s">
        <v>66</v>
      </c>
      <c r="N70" t="s">
        <v>288</v>
      </c>
      <c r="Q70" t="s">
        <v>705</v>
      </c>
      <c r="R70" t="s">
        <v>708</v>
      </c>
      <c r="S70" s="60" t="s">
        <v>675</v>
      </c>
      <c r="T70" s="60" t="s">
        <v>675</v>
      </c>
      <c r="U70" s="60" t="s">
        <v>675</v>
      </c>
      <c r="V70" s="60" t="s">
        <v>702</v>
      </c>
      <c r="W70" t="s">
        <v>675</v>
      </c>
      <c r="X70" t="s">
        <v>675</v>
      </c>
      <c r="Y70" t="s">
        <v>680</v>
      </c>
      <c r="Z70" s="20"/>
    </row>
    <row r="71" spans="1:26" x14ac:dyDescent="0.6">
      <c r="A71" s="22">
        <v>107</v>
      </c>
      <c r="B71" t="s">
        <v>373</v>
      </c>
      <c r="C71" s="5">
        <v>44498</v>
      </c>
      <c r="D71" s="7">
        <v>0.4201388888888889</v>
      </c>
      <c r="E71" s="5">
        <v>44505</v>
      </c>
      <c r="F71" t="s">
        <v>386</v>
      </c>
      <c r="G71" t="s">
        <v>288</v>
      </c>
      <c r="H71" t="s">
        <v>244</v>
      </c>
      <c r="I71" t="s">
        <v>120</v>
      </c>
      <c r="J71" s="20">
        <v>9</v>
      </c>
      <c r="K71" s="20">
        <v>6.5</v>
      </c>
      <c r="L71" s="20">
        <v>6</v>
      </c>
      <c r="M71" t="s">
        <v>66</v>
      </c>
      <c r="N71" t="s">
        <v>288</v>
      </c>
      <c r="Q71" t="s">
        <v>705</v>
      </c>
      <c r="R71" t="s">
        <v>708</v>
      </c>
      <c r="S71" s="60" t="s">
        <v>675</v>
      </c>
      <c r="T71" s="60" t="s">
        <v>675</v>
      </c>
      <c r="U71" s="60" t="s">
        <v>675</v>
      </c>
      <c r="V71" s="60" t="s">
        <v>703</v>
      </c>
      <c r="W71" t="s">
        <v>675</v>
      </c>
      <c r="X71" t="s">
        <v>675</v>
      </c>
      <c r="Y71" t="s">
        <v>680</v>
      </c>
      <c r="Z71" s="20"/>
    </row>
    <row r="72" spans="1:26" ht="17.05" customHeight="1" x14ac:dyDescent="0.6">
      <c r="A72" s="22">
        <v>108</v>
      </c>
      <c r="B72" t="s">
        <v>374</v>
      </c>
      <c r="C72" s="5">
        <v>44498</v>
      </c>
      <c r="D72" s="7">
        <v>0.41666666666666669</v>
      </c>
      <c r="E72" s="5">
        <v>44505</v>
      </c>
      <c r="F72" s="35" t="s">
        <v>401</v>
      </c>
      <c r="G72" t="s">
        <v>351</v>
      </c>
      <c r="H72" t="s">
        <v>242</v>
      </c>
      <c r="I72" t="s">
        <v>67</v>
      </c>
      <c r="J72" s="20">
        <v>5</v>
      </c>
      <c r="K72" s="20">
        <v>2.5</v>
      </c>
      <c r="L72" s="20">
        <v>7.5</v>
      </c>
      <c r="M72" t="s">
        <v>66</v>
      </c>
      <c r="O72" t="s">
        <v>287</v>
      </c>
      <c r="Q72" t="s">
        <v>325</v>
      </c>
      <c r="R72" t="s">
        <v>708</v>
      </c>
      <c r="S72" s="60" t="s">
        <v>675</v>
      </c>
      <c r="T72" s="60" t="s">
        <v>675</v>
      </c>
      <c r="U72" s="60" t="s">
        <v>675</v>
      </c>
      <c r="V72" s="60" t="s">
        <v>706</v>
      </c>
      <c r="W72" t="s">
        <v>66</v>
      </c>
      <c r="X72" t="s">
        <v>141</v>
      </c>
      <c r="Y72" t="s">
        <v>680</v>
      </c>
      <c r="Z72" s="20"/>
    </row>
    <row r="73" spans="1:26" x14ac:dyDescent="0.6">
      <c r="A73" s="22">
        <v>108</v>
      </c>
      <c r="B73" t="s">
        <v>374</v>
      </c>
      <c r="C73" s="5">
        <v>44498</v>
      </c>
      <c r="D73" s="7">
        <v>0.41666666666666669</v>
      </c>
      <c r="E73" s="5">
        <v>44505</v>
      </c>
      <c r="F73" s="35" t="s">
        <v>401</v>
      </c>
      <c r="G73" t="s">
        <v>287</v>
      </c>
      <c r="H73" t="s">
        <v>244</v>
      </c>
      <c r="I73" t="s">
        <v>402</v>
      </c>
      <c r="J73" s="20">
        <v>8.5</v>
      </c>
      <c r="K73" s="20">
        <v>5</v>
      </c>
      <c r="L73" s="20">
        <v>6.5</v>
      </c>
      <c r="M73" t="s">
        <v>66</v>
      </c>
      <c r="O73" t="s">
        <v>287</v>
      </c>
      <c r="Q73" t="s">
        <v>325</v>
      </c>
      <c r="R73" t="s">
        <v>675</v>
      </c>
      <c r="S73" s="60" t="s">
        <v>675</v>
      </c>
      <c r="T73" s="60" t="s">
        <v>675</v>
      </c>
      <c r="U73" s="60" t="s">
        <v>675</v>
      </c>
      <c r="V73" s="60" t="s">
        <v>675</v>
      </c>
      <c r="W73" t="s">
        <v>66</v>
      </c>
      <c r="X73" t="s">
        <v>141</v>
      </c>
      <c r="Y73" t="s">
        <v>675</v>
      </c>
      <c r="Z73" s="20"/>
    </row>
    <row r="74" spans="1:26" x14ac:dyDescent="0.6">
      <c r="A74" s="22">
        <v>111</v>
      </c>
      <c r="B74" t="s">
        <v>250</v>
      </c>
      <c r="C74" s="5">
        <v>44511</v>
      </c>
      <c r="D74" s="7">
        <v>0.59861111111111109</v>
      </c>
      <c r="E74" s="5">
        <v>44518</v>
      </c>
      <c r="F74" t="s">
        <v>447</v>
      </c>
      <c r="G74" t="s">
        <v>288</v>
      </c>
      <c r="H74" t="s">
        <v>242</v>
      </c>
      <c r="I74" t="s">
        <v>120</v>
      </c>
      <c r="J74" s="20">
        <v>11.5</v>
      </c>
      <c r="K74" s="20">
        <v>6</v>
      </c>
      <c r="L74" s="20">
        <v>6.5</v>
      </c>
      <c r="M74" t="s">
        <v>117</v>
      </c>
      <c r="O74" t="s">
        <v>288</v>
      </c>
      <c r="Q74" t="s">
        <v>325</v>
      </c>
      <c r="R74" t="s">
        <v>675</v>
      </c>
      <c r="S74" s="60" t="s">
        <v>675</v>
      </c>
      <c r="T74" s="60" t="s">
        <v>675</v>
      </c>
      <c r="U74" s="60" t="s">
        <v>675</v>
      </c>
      <c r="V74" s="60" t="s">
        <v>675</v>
      </c>
      <c r="W74" t="s">
        <v>288</v>
      </c>
      <c r="X74" t="s">
        <v>63</v>
      </c>
      <c r="Y74" t="s">
        <v>675</v>
      </c>
      <c r="Z74" s="20"/>
    </row>
    <row r="75" spans="1:26" x14ac:dyDescent="0.6">
      <c r="A75" s="22">
        <v>111</v>
      </c>
      <c r="B75" t="s">
        <v>250</v>
      </c>
      <c r="C75" s="5">
        <v>44511</v>
      </c>
      <c r="D75" s="7">
        <v>0.59861111111111109</v>
      </c>
      <c r="E75" s="5">
        <v>44518</v>
      </c>
      <c r="F75" t="s">
        <v>447</v>
      </c>
      <c r="G75" t="s">
        <v>117</v>
      </c>
      <c r="H75" t="s">
        <v>244</v>
      </c>
      <c r="I75" t="s">
        <v>120</v>
      </c>
      <c r="J75" s="20">
        <v>8.5</v>
      </c>
      <c r="K75" s="20">
        <v>7</v>
      </c>
      <c r="L75" s="20">
        <v>4.5</v>
      </c>
      <c r="M75" t="s">
        <v>117</v>
      </c>
      <c r="O75" t="s">
        <v>288</v>
      </c>
      <c r="Q75" t="s">
        <v>325</v>
      </c>
      <c r="R75" t="s">
        <v>323</v>
      </c>
      <c r="S75" s="60">
        <v>6</v>
      </c>
      <c r="T75" s="60" t="s">
        <v>675</v>
      </c>
      <c r="U75" s="60" t="s">
        <v>709</v>
      </c>
      <c r="V75" s="61">
        <v>44513.3125</v>
      </c>
      <c r="W75" t="s">
        <v>288</v>
      </c>
      <c r="X75" t="s">
        <v>63</v>
      </c>
      <c r="Y75" t="s">
        <v>682</v>
      </c>
      <c r="Z75" s="20"/>
    </row>
    <row r="76" spans="1:26" x14ac:dyDescent="0.6">
      <c r="A76" s="22">
        <v>112</v>
      </c>
      <c r="B76" t="s">
        <v>373</v>
      </c>
      <c r="C76" s="5">
        <v>44511</v>
      </c>
      <c r="D76" s="7">
        <v>0.59722222222222221</v>
      </c>
      <c r="E76" s="5">
        <v>44518</v>
      </c>
      <c r="F76" t="s">
        <v>447</v>
      </c>
      <c r="G76" t="s">
        <v>288</v>
      </c>
      <c r="H76" t="s">
        <v>242</v>
      </c>
      <c r="I76" t="s">
        <v>120</v>
      </c>
      <c r="J76" s="20">
        <v>10</v>
      </c>
      <c r="K76" s="20">
        <v>5.5</v>
      </c>
      <c r="L76" s="20">
        <v>3</v>
      </c>
      <c r="M76" t="s">
        <v>288</v>
      </c>
      <c r="N76" t="s">
        <v>117</v>
      </c>
      <c r="Q76" t="s">
        <v>705</v>
      </c>
      <c r="R76" t="s">
        <v>708</v>
      </c>
      <c r="S76" s="60" t="s">
        <v>675</v>
      </c>
      <c r="T76" s="60" t="s">
        <v>675</v>
      </c>
      <c r="U76" s="60" t="s">
        <v>675</v>
      </c>
      <c r="V76" s="60" t="s">
        <v>710</v>
      </c>
      <c r="W76" t="s">
        <v>675</v>
      </c>
      <c r="X76" t="s">
        <v>675</v>
      </c>
      <c r="Y76" t="s">
        <v>680</v>
      </c>
      <c r="Z76" s="20"/>
    </row>
    <row r="77" spans="1:26" x14ac:dyDescent="0.6">
      <c r="A77" s="22">
        <v>112</v>
      </c>
      <c r="B77" t="s">
        <v>373</v>
      </c>
      <c r="C77" s="5">
        <v>44511</v>
      </c>
      <c r="D77" s="7">
        <v>0.59722222222222221</v>
      </c>
      <c r="E77" s="5">
        <v>44518</v>
      </c>
      <c r="F77" t="s">
        <v>447</v>
      </c>
      <c r="G77" t="s">
        <v>117</v>
      </c>
      <c r="H77" t="s">
        <v>244</v>
      </c>
      <c r="I77" t="s">
        <v>120</v>
      </c>
      <c r="J77" s="20">
        <v>8.5</v>
      </c>
      <c r="K77" s="20">
        <v>4</v>
      </c>
      <c r="L77" s="20">
        <v>2.5</v>
      </c>
      <c r="M77" t="s">
        <v>288</v>
      </c>
      <c r="N77" t="s">
        <v>117</v>
      </c>
      <c r="Q77" t="s">
        <v>705</v>
      </c>
      <c r="R77" t="s">
        <v>708</v>
      </c>
      <c r="S77" s="60" t="s">
        <v>675</v>
      </c>
      <c r="T77" s="60" t="s">
        <v>675</v>
      </c>
      <c r="U77" s="60" t="s">
        <v>675</v>
      </c>
      <c r="V77" s="60" t="s">
        <v>711</v>
      </c>
      <c r="W77" t="s">
        <v>675</v>
      </c>
      <c r="X77" t="s">
        <v>675</v>
      </c>
      <c r="Y77" t="s">
        <v>680</v>
      </c>
      <c r="Z77" s="20"/>
    </row>
    <row r="78" spans="1:26" ht="17.05" customHeight="1" x14ac:dyDescent="0.6">
      <c r="A78" s="22">
        <v>113</v>
      </c>
      <c r="B78" t="s">
        <v>374</v>
      </c>
      <c r="C78" s="5">
        <v>44511</v>
      </c>
      <c r="D78" s="7">
        <v>0.59583333333333333</v>
      </c>
      <c r="E78" s="5">
        <v>44518</v>
      </c>
      <c r="F78" t="s">
        <v>401</v>
      </c>
      <c r="G78" t="s">
        <v>351</v>
      </c>
      <c r="H78" t="s">
        <v>242</v>
      </c>
      <c r="I78" t="s">
        <v>67</v>
      </c>
      <c r="J78" s="20">
        <v>7</v>
      </c>
      <c r="K78" s="20">
        <v>3.5</v>
      </c>
      <c r="L78" s="20">
        <v>9</v>
      </c>
      <c r="M78" t="s">
        <v>287</v>
      </c>
      <c r="N78" t="s">
        <v>66</v>
      </c>
      <c r="Q78" t="s">
        <v>723</v>
      </c>
      <c r="R78" t="s">
        <v>707</v>
      </c>
      <c r="S78" s="60" t="s">
        <v>675</v>
      </c>
      <c r="T78" s="60" t="s">
        <v>675</v>
      </c>
      <c r="U78" s="60" t="s">
        <v>675</v>
      </c>
      <c r="V78" s="60" t="s">
        <v>710</v>
      </c>
      <c r="W78" t="s">
        <v>287</v>
      </c>
      <c r="X78" t="s">
        <v>141</v>
      </c>
      <c r="Y78" t="s">
        <v>680</v>
      </c>
      <c r="Z78" s="20"/>
    </row>
    <row r="79" spans="1:26" x14ac:dyDescent="0.6">
      <c r="A79" s="22">
        <v>113</v>
      </c>
      <c r="B79" t="s">
        <v>374</v>
      </c>
      <c r="C79" s="5">
        <v>44511</v>
      </c>
      <c r="D79" s="7">
        <v>0.59583333333333333</v>
      </c>
      <c r="E79" s="5">
        <v>44518</v>
      </c>
      <c r="F79" t="s">
        <v>401</v>
      </c>
      <c r="G79" t="s">
        <v>287</v>
      </c>
      <c r="H79" t="s">
        <v>244</v>
      </c>
      <c r="I79" t="s">
        <v>402</v>
      </c>
      <c r="J79" s="20">
        <v>7.5</v>
      </c>
      <c r="K79" s="20">
        <v>6.5</v>
      </c>
      <c r="L79" s="20">
        <v>10</v>
      </c>
      <c r="M79" t="s">
        <v>287</v>
      </c>
      <c r="N79" t="s">
        <v>66</v>
      </c>
      <c r="Q79" t="s">
        <v>723</v>
      </c>
      <c r="R79" t="s">
        <v>701</v>
      </c>
      <c r="S79" s="60">
        <v>6</v>
      </c>
      <c r="T79" s="60">
        <v>72</v>
      </c>
      <c r="U79" s="60" t="s">
        <v>709</v>
      </c>
      <c r="V79" s="61">
        <v>44512.270833333336</v>
      </c>
      <c r="W79" t="s">
        <v>287</v>
      </c>
      <c r="X79" t="s">
        <v>141</v>
      </c>
      <c r="Y79" t="s">
        <v>682</v>
      </c>
      <c r="Z79" s="20"/>
    </row>
    <row r="80" spans="1:26" x14ac:dyDescent="0.6">
      <c r="A80" s="22">
        <v>114</v>
      </c>
      <c r="B80" t="s">
        <v>49</v>
      </c>
      <c r="C80" s="5">
        <v>44511</v>
      </c>
      <c r="D80" s="7">
        <v>0.59444444444444444</v>
      </c>
      <c r="E80" s="5">
        <v>44518</v>
      </c>
      <c r="F80" t="s">
        <v>390</v>
      </c>
      <c r="G80" t="s">
        <v>284</v>
      </c>
      <c r="H80" t="s">
        <v>242</v>
      </c>
      <c r="I80" t="s">
        <v>120</v>
      </c>
      <c r="J80" s="20">
        <v>7</v>
      </c>
      <c r="K80" s="20">
        <v>4.5</v>
      </c>
      <c r="L80" s="20">
        <v>4.5</v>
      </c>
      <c r="M80" t="s">
        <v>66</v>
      </c>
      <c r="N80" t="s">
        <v>284</v>
      </c>
      <c r="Q80" t="s">
        <v>723</v>
      </c>
      <c r="R80" t="s">
        <v>708</v>
      </c>
      <c r="S80" s="60" t="s">
        <v>675</v>
      </c>
      <c r="T80" s="60" t="s">
        <v>675</v>
      </c>
      <c r="U80" s="60" t="s">
        <v>675</v>
      </c>
      <c r="V80" s="60" t="s">
        <v>710</v>
      </c>
      <c r="W80" t="s">
        <v>66</v>
      </c>
      <c r="X80" t="s">
        <v>141</v>
      </c>
      <c r="Y80" t="s">
        <v>680</v>
      </c>
      <c r="Z80" s="20"/>
    </row>
    <row r="81" spans="1:26" x14ac:dyDescent="0.6">
      <c r="A81" s="22">
        <v>114</v>
      </c>
      <c r="B81" t="s">
        <v>49</v>
      </c>
      <c r="C81" s="5">
        <v>44511</v>
      </c>
      <c r="D81" s="7">
        <v>0.59444444444444444</v>
      </c>
      <c r="E81" s="5">
        <v>44518</v>
      </c>
      <c r="F81" t="s">
        <v>390</v>
      </c>
      <c r="G81" t="s">
        <v>351</v>
      </c>
      <c r="H81" t="s">
        <v>244</v>
      </c>
      <c r="I81" t="s">
        <v>67</v>
      </c>
      <c r="J81" s="20">
        <v>6</v>
      </c>
      <c r="K81" s="20">
        <v>3</v>
      </c>
      <c r="L81" s="20">
        <v>7.5</v>
      </c>
      <c r="M81" t="s">
        <v>66</v>
      </c>
      <c r="N81" t="s">
        <v>284</v>
      </c>
      <c r="Q81" t="s">
        <v>723</v>
      </c>
      <c r="R81" t="s">
        <v>707</v>
      </c>
      <c r="S81" s="60" t="s">
        <v>675</v>
      </c>
      <c r="T81" s="60" t="s">
        <v>675</v>
      </c>
      <c r="U81" s="60" t="s">
        <v>675</v>
      </c>
      <c r="V81" s="60" t="s">
        <v>712</v>
      </c>
      <c r="W81" t="s">
        <v>66</v>
      </c>
      <c r="X81" t="s">
        <v>141</v>
      </c>
      <c r="Y81" t="s">
        <v>680</v>
      </c>
      <c r="Z81" s="20"/>
    </row>
    <row r="82" spans="1:26" x14ac:dyDescent="0.6">
      <c r="A82" s="22">
        <v>115</v>
      </c>
      <c r="B82" t="s">
        <v>260</v>
      </c>
      <c r="C82" s="5">
        <v>44511</v>
      </c>
      <c r="D82" s="7">
        <v>0.59305555555555556</v>
      </c>
      <c r="E82" s="5">
        <v>44514</v>
      </c>
      <c r="F82" t="s">
        <v>390</v>
      </c>
      <c r="G82" t="s">
        <v>284</v>
      </c>
      <c r="H82" t="s">
        <v>244</v>
      </c>
      <c r="I82" t="s">
        <v>120</v>
      </c>
      <c r="J82" s="20">
        <v>18.5</v>
      </c>
      <c r="K82" s="20">
        <v>8.5</v>
      </c>
      <c r="L82" s="20">
        <v>8.5</v>
      </c>
      <c r="M82" t="s">
        <v>284</v>
      </c>
      <c r="N82" t="s">
        <v>66</v>
      </c>
      <c r="Q82" t="s">
        <v>723</v>
      </c>
      <c r="R82" t="s">
        <v>708</v>
      </c>
      <c r="S82" s="60" t="s">
        <v>675</v>
      </c>
      <c r="T82" s="60" t="s">
        <v>675</v>
      </c>
      <c r="U82" s="60" t="s">
        <v>675</v>
      </c>
      <c r="V82" s="60" t="s">
        <v>712</v>
      </c>
      <c r="W82" t="s">
        <v>284</v>
      </c>
      <c r="X82" t="s">
        <v>141</v>
      </c>
      <c r="Y82" t="s">
        <v>680</v>
      </c>
      <c r="Z82" s="20"/>
    </row>
    <row r="83" spans="1:26" ht="17.05" customHeight="1" x14ac:dyDescent="0.6">
      <c r="A83" s="22">
        <v>115</v>
      </c>
      <c r="B83" t="s">
        <v>260</v>
      </c>
      <c r="C83" s="5">
        <v>44511</v>
      </c>
      <c r="D83" s="7">
        <v>0.59305555555555556</v>
      </c>
      <c r="E83" s="5">
        <v>44514</v>
      </c>
      <c r="F83" t="s">
        <v>390</v>
      </c>
      <c r="G83" t="s">
        <v>351</v>
      </c>
      <c r="H83" t="s">
        <v>242</v>
      </c>
      <c r="I83" t="s">
        <v>67</v>
      </c>
      <c r="J83" s="20">
        <v>4.5</v>
      </c>
      <c r="K83" s="20">
        <v>2.5</v>
      </c>
      <c r="L83" s="20">
        <v>6</v>
      </c>
      <c r="M83" t="s">
        <v>284</v>
      </c>
      <c r="N83" t="s">
        <v>66</v>
      </c>
      <c r="Q83" t="s">
        <v>723</v>
      </c>
      <c r="R83" t="s">
        <v>707</v>
      </c>
      <c r="S83" s="60" t="s">
        <v>675</v>
      </c>
      <c r="T83" s="60" t="s">
        <v>675</v>
      </c>
      <c r="U83" s="60" t="s">
        <v>675</v>
      </c>
      <c r="V83" s="60" t="s">
        <v>713</v>
      </c>
      <c r="W83" t="s">
        <v>284</v>
      </c>
      <c r="X83" t="s">
        <v>141</v>
      </c>
      <c r="Y83" t="s">
        <v>680</v>
      </c>
      <c r="Z83" s="20"/>
    </row>
    <row r="84" spans="1:26" x14ac:dyDescent="0.6">
      <c r="A84" s="22">
        <v>120</v>
      </c>
      <c r="B84" t="s">
        <v>502</v>
      </c>
      <c r="C84" s="5">
        <v>44706</v>
      </c>
      <c r="D84" s="7">
        <v>0.59027777777777779</v>
      </c>
      <c r="E84" s="5">
        <v>44721</v>
      </c>
      <c r="F84" t="s">
        <v>511</v>
      </c>
      <c r="G84" t="s">
        <v>118</v>
      </c>
      <c r="H84" t="s">
        <v>242</v>
      </c>
      <c r="I84" t="s">
        <v>121</v>
      </c>
      <c r="J84" s="20">
        <v>12</v>
      </c>
      <c r="K84" s="20">
        <v>7</v>
      </c>
      <c r="L84" s="20">
        <v>5.5</v>
      </c>
      <c r="M84" t="s">
        <v>118</v>
      </c>
      <c r="O84" t="s">
        <v>46</v>
      </c>
      <c r="Q84" t="s">
        <v>325</v>
      </c>
      <c r="R84" t="s">
        <v>448</v>
      </c>
      <c r="S84" s="60" t="s">
        <v>675</v>
      </c>
      <c r="T84" s="60">
        <v>52</v>
      </c>
      <c r="U84" s="60" t="s">
        <v>675</v>
      </c>
      <c r="V84" s="60" t="s">
        <v>675</v>
      </c>
      <c r="W84" t="s">
        <v>675</v>
      </c>
      <c r="X84" t="s">
        <v>675</v>
      </c>
      <c r="Y84" t="s">
        <v>675</v>
      </c>
      <c r="Z84" s="20" t="s">
        <v>514</v>
      </c>
    </row>
    <row r="85" spans="1:26" x14ac:dyDescent="0.6">
      <c r="A85" s="22">
        <v>120</v>
      </c>
      <c r="B85" t="s">
        <v>502</v>
      </c>
      <c r="C85" s="5">
        <v>44706</v>
      </c>
      <c r="D85" s="7">
        <v>0.59027777777777779</v>
      </c>
      <c r="E85" s="5">
        <v>44721</v>
      </c>
      <c r="F85" t="s">
        <v>511</v>
      </c>
      <c r="G85" t="s">
        <v>352</v>
      </c>
      <c r="H85" t="s">
        <v>244</v>
      </c>
      <c r="I85" t="s">
        <v>47</v>
      </c>
      <c r="J85" s="20">
        <v>11</v>
      </c>
      <c r="K85" s="20">
        <v>7.5</v>
      </c>
      <c r="L85" s="20">
        <v>4.5</v>
      </c>
      <c r="M85" t="s">
        <v>118</v>
      </c>
      <c r="O85" t="s">
        <v>46</v>
      </c>
      <c r="Q85" t="s">
        <v>325</v>
      </c>
      <c r="R85" t="s">
        <v>675</v>
      </c>
      <c r="S85" s="60" t="s">
        <v>675</v>
      </c>
      <c r="T85" s="60" t="s">
        <v>675</v>
      </c>
      <c r="U85" s="60" t="s">
        <v>675</v>
      </c>
      <c r="V85" s="60" t="s">
        <v>675</v>
      </c>
      <c r="W85" t="s">
        <v>675</v>
      </c>
      <c r="X85" t="s">
        <v>675</v>
      </c>
      <c r="Y85" t="s">
        <v>675</v>
      </c>
      <c r="Z85" s="20" t="s">
        <v>515</v>
      </c>
    </row>
    <row r="86" spans="1:26" ht="17.05" customHeight="1" x14ac:dyDescent="0.6">
      <c r="A86" s="22">
        <v>125</v>
      </c>
      <c r="B86" t="s">
        <v>502</v>
      </c>
      <c r="C86" s="5">
        <v>44721</v>
      </c>
      <c r="D86" s="7">
        <v>0.54999999999999993</v>
      </c>
      <c r="E86" s="5">
        <v>44727</v>
      </c>
      <c r="F86" t="s">
        <v>221</v>
      </c>
      <c r="G86" t="s">
        <v>119</v>
      </c>
      <c r="H86" t="s">
        <v>242</v>
      </c>
      <c r="I86" t="s">
        <v>120</v>
      </c>
      <c r="J86" s="20">
        <v>12</v>
      </c>
      <c r="K86" s="20">
        <v>11</v>
      </c>
      <c r="L86" s="20">
        <v>9</v>
      </c>
      <c r="M86" t="s">
        <v>119</v>
      </c>
      <c r="N86" t="s">
        <v>46</v>
      </c>
      <c r="Q86" t="s">
        <v>704</v>
      </c>
      <c r="R86" t="s">
        <v>323</v>
      </c>
      <c r="S86" s="60">
        <v>19</v>
      </c>
      <c r="T86" s="60" t="s">
        <v>675</v>
      </c>
      <c r="U86" s="60" t="s">
        <v>714</v>
      </c>
      <c r="V86" s="61">
        <v>44722.25</v>
      </c>
      <c r="W86" t="s">
        <v>46</v>
      </c>
      <c r="X86" t="s">
        <v>63</v>
      </c>
      <c r="Y86" t="s">
        <v>682</v>
      </c>
      <c r="Z86" s="20" t="s">
        <v>530</v>
      </c>
    </row>
    <row r="87" spans="1:26" x14ac:dyDescent="0.6">
      <c r="A87" s="22">
        <v>125</v>
      </c>
      <c r="B87" t="s">
        <v>502</v>
      </c>
      <c r="C87" s="5">
        <v>44721</v>
      </c>
      <c r="D87" s="7">
        <v>0.54999999999999993</v>
      </c>
      <c r="E87" s="5">
        <v>44727</v>
      </c>
      <c r="F87" t="s">
        <v>221</v>
      </c>
      <c r="G87" t="s">
        <v>352</v>
      </c>
      <c r="H87" t="s">
        <v>244</v>
      </c>
      <c r="I87" t="s">
        <v>47</v>
      </c>
      <c r="J87" s="20">
        <v>13</v>
      </c>
      <c r="K87" s="20">
        <v>12</v>
      </c>
      <c r="L87" s="20">
        <v>12</v>
      </c>
      <c r="M87" t="s">
        <v>119</v>
      </c>
      <c r="N87" t="s">
        <v>46</v>
      </c>
      <c r="Q87" t="s">
        <v>704</v>
      </c>
      <c r="R87" t="s">
        <v>323</v>
      </c>
      <c r="S87" s="60">
        <v>13</v>
      </c>
      <c r="T87" s="60" t="s">
        <v>675</v>
      </c>
      <c r="U87" s="60" t="s">
        <v>691</v>
      </c>
      <c r="V87" s="61">
        <v>44724.25</v>
      </c>
      <c r="W87" t="s">
        <v>46</v>
      </c>
      <c r="X87" t="s">
        <v>63</v>
      </c>
      <c r="Y87" t="s">
        <v>682</v>
      </c>
      <c r="Z87" s="20" t="s">
        <v>531</v>
      </c>
    </row>
    <row r="88" spans="1:26" x14ac:dyDescent="0.6">
      <c r="A88" s="22">
        <v>126</v>
      </c>
      <c r="B88" t="s">
        <v>498</v>
      </c>
      <c r="C88" s="5">
        <v>44736</v>
      </c>
      <c r="D88" s="7">
        <v>0.5625</v>
      </c>
      <c r="E88" s="5">
        <v>44750</v>
      </c>
      <c r="F88" t="s">
        <v>405</v>
      </c>
      <c r="G88" t="s">
        <v>119</v>
      </c>
      <c r="H88" t="s">
        <v>244</v>
      </c>
      <c r="I88" t="s">
        <v>120</v>
      </c>
      <c r="J88" s="20">
        <v>11</v>
      </c>
      <c r="K88" s="20">
        <v>10</v>
      </c>
      <c r="L88" s="20">
        <v>6</v>
      </c>
      <c r="M88" t="s">
        <v>119</v>
      </c>
      <c r="O88" t="s">
        <v>98</v>
      </c>
      <c r="Q88" t="s">
        <v>325</v>
      </c>
      <c r="R88" t="s">
        <v>448</v>
      </c>
      <c r="S88" s="60" t="s">
        <v>675</v>
      </c>
      <c r="T88" s="60">
        <v>20</v>
      </c>
      <c r="U88" s="60" t="s">
        <v>696</v>
      </c>
      <c r="V88" s="61">
        <v>44743.25</v>
      </c>
      <c r="W88" t="s">
        <v>98</v>
      </c>
      <c r="X88" t="s">
        <v>63</v>
      </c>
      <c r="Y88" t="s">
        <v>682</v>
      </c>
      <c r="Z88" s="20" t="s">
        <v>541</v>
      </c>
    </row>
    <row r="89" spans="1:26" x14ac:dyDescent="0.6">
      <c r="A89" s="22">
        <v>126</v>
      </c>
      <c r="B89" t="s">
        <v>498</v>
      </c>
      <c r="C89" s="5">
        <v>44736</v>
      </c>
      <c r="D89" s="7">
        <v>0.5625</v>
      </c>
      <c r="E89" s="5">
        <v>44750</v>
      </c>
      <c r="F89" t="s">
        <v>405</v>
      </c>
      <c r="G89" t="s">
        <v>98</v>
      </c>
      <c r="H89" t="s">
        <v>242</v>
      </c>
      <c r="I89" t="s">
        <v>97</v>
      </c>
      <c r="J89" s="20">
        <v>8</v>
      </c>
      <c r="K89" s="20">
        <v>10</v>
      </c>
      <c r="L89" s="20">
        <v>3</v>
      </c>
      <c r="M89" t="s">
        <v>119</v>
      </c>
      <c r="O89" t="s">
        <v>98</v>
      </c>
      <c r="Q89" t="s">
        <v>325</v>
      </c>
      <c r="R89" t="s">
        <v>675</v>
      </c>
      <c r="S89" s="60" t="s">
        <v>675</v>
      </c>
      <c r="T89" s="60" t="s">
        <v>675</v>
      </c>
      <c r="U89" s="60" t="s">
        <v>675</v>
      </c>
      <c r="V89" s="60" t="s">
        <v>675</v>
      </c>
      <c r="W89" t="s">
        <v>98</v>
      </c>
      <c r="X89" t="s">
        <v>63</v>
      </c>
      <c r="Y89" t="s">
        <v>675</v>
      </c>
      <c r="Z89" s="20"/>
    </row>
    <row r="90" spans="1:26" x14ac:dyDescent="0.6">
      <c r="A90" s="22">
        <v>127</v>
      </c>
      <c r="B90" t="s">
        <v>499</v>
      </c>
      <c r="C90" s="5">
        <v>44736</v>
      </c>
      <c r="D90" s="7">
        <v>0.57361111111111118</v>
      </c>
      <c r="E90" s="5">
        <v>44750</v>
      </c>
      <c r="F90" t="s">
        <v>536</v>
      </c>
      <c r="G90" t="s">
        <v>117</v>
      </c>
      <c r="H90" t="s">
        <v>244</v>
      </c>
      <c r="I90" t="s">
        <v>120</v>
      </c>
      <c r="J90" s="20">
        <v>14</v>
      </c>
      <c r="K90" s="20">
        <v>14</v>
      </c>
      <c r="L90" s="20">
        <v>8</v>
      </c>
      <c r="M90" t="s">
        <v>287</v>
      </c>
      <c r="N90" t="s">
        <v>117</v>
      </c>
      <c r="Q90" t="s">
        <v>705</v>
      </c>
      <c r="R90" t="s">
        <v>708</v>
      </c>
      <c r="S90" s="60" t="s">
        <v>675</v>
      </c>
      <c r="T90" s="60" t="s">
        <v>675</v>
      </c>
      <c r="U90" s="60" t="s">
        <v>675</v>
      </c>
      <c r="V90" s="60" t="s">
        <v>715</v>
      </c>
      <c r="W90" t="s">
        <v>117</v>
      </c>
      <c r="X90" t="s">
        <v>63</v>
      </c>
      <c r="Y90" t="s">
        <v>680</v>
      </c>
      <c r="Z90" s="20"/>
    </row>
    <row r="91" spans="1:26" x14ac:dyDescent="0.6">
      <c r="A91" s="22">
        <v>127</v>
      </c>
      <c r="B91" t="s">
        <v>499</v>
      </c>
      <c r="C91" s="5">
        <v>44736</v>
      </c>
      <c r="D91" s="7">
        <v>0.57361111111111118</v>
      </c>
      <c r="E91" s="5">
        <v>44750</v>
      </c>
      <c r="F91" t="s">
        <v>536</v>
      </c>
      <c r="G91" t="s">
        <v>287</v>
      </c>
      <c r="H91" t="s">
        <v>242</v>
      </c>
      <c r="I91" t="s">
        <v>402</v>
      </c>
      <c r="J91" s="20">
        <v>8</v>
      </c>
      <c r="K91" s="20">
        <v>7</v>
      </c>
      <c r="L91" s="20">
        <v>4.5</v>
      </c>
      <c r="M91" t="s">
        <v>287</v>
      </c>
      <c r="N91" t="s">
        <v>117</v>
      </c>
      <c r="Q91" t="s">
        <v>705</v>
      </c>
      <c r="R91" t="s">
        <v>448</v>
      </c>
      <c r="S91" s="60" t="s">
        <v>675</v>
      </c>
      <c r="T91" s="60">
        <v>41</v>
      </c>
      <c r="U91" s="60" t="s">
        <v>716</v>
      </c>
      <c r="V91" s="61">
        <v>44738.25</v>
      </c>
      <c r="W91" t="s">
        <v>117</v>
      </c>
      <c r="X91" t="s">
        <v>63</v>
      </c>
      <c r="Y91" t="s">
        <v>682</v>
      </c>
      <c r="Z91" s="20" t="s">
        <v>545</v>
      </c>
    </row>
    <row r="92" spans="1:26" ht="17.05" customHeight="1" x14ac:dyDescent="0.6">
      <c r="A92" s="22">
        <v>128</v>
      </c>
      <c r="B92" t="s">
        <v>500</v>
      </c>
      <c r="C92" s="5">
        <v>44736</v>
      </c>
      <c r="D92" s="7">
        <v>0.57708333333333328</v>
      </c>
      <c r="E92" s="5">
        <v>44750</v>
      </c>
      <c r="F92" t="s">
        <v>536</v>
      </c>
      <c r="G92" t="s">
        <v>117</v>
      </c>
      <c r="H92" t="s">
        <v>244</v>
      </c>
      <c r="I92" t="s">
        <v>120</v>
      </c>
      <c r="J92" s="20">
        <v>7.5</v>
      </c>
      <c r="K92" s="20">
        <v>5.5</v>
      </c>
      <c r="L92" s="20">
        <v>3</v>
      </c>
      <c r="M92" t="s">
        <v>287</v>
      </c>
      <c r="O92" t="s">
        <v>117</v>
      </c>
      <c r="Q92" t="s">
        <v>325</v>
      </c>
      <c r="R92" t="s">
        <v>675</v>
      </c>
      <c r="S92" s="60" t="s">
        <v>675</v>
      </c>
      <c r="T92" s="60" t="s">
        <v>675</v>
      </c>
      <c r="U92" s="60" t="s">
        <v>675</v>
      </c>
      <c r="V92" s="60" t="s">
        <v>675</v>
      </c>
      <c r="W92" t="s">
        <v>117</v>
      </c>
      <c r="X92" t="s">
        <v>63</v>
      </c>
      <c r="Y92" t="s">
        <v>675</v>
      </c>
      <c r="Z92" s="20"/>
    </row>
    <row r="93" spans="1:26" x14ac:dyDescent="0.6">
      <c r="A93" s="22">
        <v>128</v>
      </c>
      <c r="B93" t="s">
        <v>500</v>
      </c>
      <c r="C93" s="5">
        <v>44736</v>
      </c>
      <c r="D93" s="7">
        <v>0.57708333333333328</v>
      </c>
      <c r="E93" s="5">
        <v>44750</v>
      </c>
      <c r="F93" t="s">
        <v>536</v>
      </c>
      <c r="G93" t="s">
        <v>287</v>
      </c>
      <c r="H93" t="s">
        <v>242</v>
      </c>
      <c r="I93" t="s">
        <v>402</v>
      </c>
      <c r="J93" s="20">
        <v>9.5</v>
      </c>
      <c r="K93" s="20">
        <v>4.5</v>
      </c>
      <c r="L93" s="20">
        <v>2.5</v>
      </c>
      <c r="M93" t="s">
        <v>287</v>
      </c>
      <c r="O93" t="s">
        <v>117</v>
      </c>
      <c r="Q93" t="s">
        <v>325</v>
      </c>
      <c r="R93" t="s">
        <v>448</v>
      </c>
      <c r="S93" s="60" t="s">
        <v>675</v>
      </c>
      <c r="T93" s="60">
        <v>15</v>
      </c>
      <c r="U93" s="60" t="s">
        <v>675</v>
      </c>
      <c r="V93" s="61">
        <v>44741.25</v>
      </c>
      <c r="W93" t="s">
        <v>117</v>
      </c>
      <c r="X93" t="s">
        <v>63</v>
      </c>
      <c r="Y93" t="s">
        <v>682</v>
      </c>
      <c r="Z93" s="20" t="s">
        <v>545</v>
      </c>
    </row>
    <row r="94" spans="1:26" x14ac:dyDescent="0.6">
      <c r="A94" s="22">
        <v>129</v>
      </c>
      <c r="B94" t="s">
        <v>501</v>
      </c>
      <c r="C94" s="5">
        <v>44736</v>
      </c>
      <c r="D94" s="7">
        <v>0.58819444444444446</v>
      </c>
      <c r="E94" s="5">
        <v>44750</v>
      </c>
      <c r="F94" t="s">
        <v>536</v>
      </c>
      <c r="G94" t="s">
        <v>117</v>
      </c>
      <c r="H94" t="s">
        <v>244</v>
      </c>
      <c r="I94" t="s">
        <v>120</v>
      </c>
      <c r="J94" s="20">
        <v>10</v>
      </c>
      <c r="K94" s="20">
        <v>6</v>
      </c>
      <c r="L94" s="20">
        <v>3</v>
      </c>
      <c r="M94" t="s">
        <v>117</v>
      </c>
      <c r="N94" t="s">
        <v>287</v>
      </c>
      <c r="Q94" t="s">
        <v>705</v>
      </c>
      <c r="R94" t="s">
        <v>448</v>
      </c>
      <c r="S94" s="60" t="s">
        <v>675</v>
      </c>
      <c r="T94" s="60">
        <v>47</v>
      </c>
      <c r="U94" s="60" t="s">
        <v>677</v>
      </c>
      <c r="V94" s="61">
        <v>44737.25</v>
      </c>
      <c r="W94" t="s">
        <v>117</v>
      </c>
      <c r="X94" t="s">
        <v>141</v>
      </c>
      <c r="Y94" t="s">
        <v>682</v>
      </c>
      <c r="Z94" s="20" t="s">
        <v>545</v>
      </c>
    </row>
    <row r="95" spans="1:26" x14ac:dyDescent="0.6">
      <c r="A95" s="22">
        <v>129</v>
      </c>
      <c r="B95" t="s">
        <v>501</v>
      </c>
      <c r="C95" s="5">
        <v>44736</v>
      </c>
      <c r="D95" s="7">
        <v>0.58819444444444446</v>
      </c>
      <c r="E95" s="5">
        <v>44750</v>
      </c>
      <c r="F95" t="s">
        <v>536</v>
      </c>
      <c r="G95" t="s">
        <v>287</v>
      </c>
      <c r="H95" t="s">
        <v>242</v>
      </c>
      <c r="I95" t="s">
        <v>402</v>
      </c>
      <c r="J95" s="20">
        <v>10</v>
      </c>
      <c r="K95" s="20">
        <v>3.5</v>
      </c>
      <c r="L95" s="20">
        <v>3</v>
      </c>
      <c r="M95" t="s">
        <v>117</v>
      </c>
      <c r="N95" t="s">
        <v>287</v>
      </c>
      <c r="Q95" t="s">
        <v>705</v>
      </c>
      <c r="R95" t="s">
        <v>448</v>
      </c>
      <c r="S95" s="60" t="s">
        <v>675</v>
      </c>
      <c r="T95" s="60">
        <v>47</v>
      </c>
      <c r="U95" s="60" t="s">
        <v>677</v>
      </c>
      <c r="V95" s="61">
        <v>44738.25</v>
      </c>
      <c r="W95" t="s">
        <v>117</v>
      </c>
      <c r="X95" t="s">
        <v>141</v>
      </c>
      <c r="Y95" t="s">
        <v>682</v>
      </c>
      <c r="Z95" s="20" t="s">
        <v>545</v>
      </c>
    </row>
    <row r="96" spans="1:26" x14ac:dyDescent="0.6">
      <c r="A96" s="22">
        <v>130</v>
      </c>
      <c r="B96" t="s">
        <v>502</v>
      </c>
      <c r="C96" s="5">
        <v>44736</v>
      </c>
      <c r="D96" s="7">
        <v>0.59444444444444444</v>
      </c>
      <c r="E96" s="5">
        <v>44750</v>
      </c>
      <c r="F96" t="s">
        <v>390</v>
      </c>
      <c r="G96" t="s">
        <v>284</v>
      </c>
      <c r="H96" t="s">
        <v>244</v>
      </c>
      <c r="I96" t="s">
        <v>120</v>
      </c>
      <c r="J96" s="20">
        <v>13</v>
      </c>
      <c r="K96" s="20">
        <v>12.5</v>
      </c>
      <c r="L96" s="20">
        <v>6</v>
      </c>
      <c r="M96" t="s">
        <v>66</v>
      </c>
      <c r="N96" t="s">
        <v>284</v>
      </c>
      <c r="Q96" t="s">
        <v>705</v>
      </c>
      <c r="R96" t="s">
        <v>448</v>
      </c>
      <c r="S96" s="60" t="s">
        <v>675</v>
      </c>
      <c r="T96" s="60">
        <v>56</v>
      </c>
      <c r="U96" s="60" t="s">
        <v>718</v>
      </c>
      <c r="V96" s="61">
        <v>44737.25</v>
      </c>
      <c r="W96" t="s">
        <v>284</v>
      </c>
      <c r="X96" t="s">
        <v>63</v>
      </c>
      <c r="Y96" t="s">
        <v>682</v>
      </c>
      <c r="Z96" s="20" t="s">
        <v>545</v>
      </c>
    </row>
    <row r="97" spans="1:26" x14ac:dyDescent="0.6">
      <c r="A97" s="22">
        <v>130</v>
      </c>
      <c r="B97" t="s">
        <v>502</v>
      </c>
      <c r="C97" s="5">
        <v>44736</v>
      </c>
      <c r="D97" s="7">
        <v>0.59444444444444444</v>
      </c>
      <c r="E97" s="5">
        <v>44750</v>
      </c>
      <c r="F97" t="s">
        <v>390</v>
      </c>
      <c r="G97" t="s">
        <v>351</v>
      </c>
      <c r="H97" t="s">
        <v>242</v>
      </c>
      <c r="I97" t="s">
        <v>67</v>
      </c>
      <c r="J97" s="20">
        <v>4</v>
      </c>
      <c r="K97" s="20">
        <v>3</v>
      </c>
      <c r="L97" s="20">
        <v>9</v>
      </c>
      <c r="M97" t="s">
        <v>66</v>
      </c>
      <c r="N97" t="s">
        <v>284</v>
      </c>
      <c r="Q97" t="s">
        <v>705</v>
      </c>
      <c r="R97" t="s">
        <v>708</v>
      </c>
      <c r="S97" s="60" t="s">
        <v>675</v>
      </c>
      <c r="T97" s="60" t="s">
        <v>675</v>
      </c>
      <c r="U97" s="60" t="s">
        <v>675</v>
      </c>
      <c r="V97" s="60" t="s">
        <v>717</v>
      </c>
      <c r="W97" t="s">
        <v>284</v>
      </c>
      <c r="X97" t="s">
        <v>63</v>
      </c>
      <c r="Y97" t="s">
        <v>680</v>
      </c>
      <c r="Z97" s="20"/>
    </row>
    <row r="98" spans="1:26" x14ac:dyDescent="0.6">
      <c r="A98" s="22">
        <v>131</v>
      </c>
      <c r="B98" t="s">
        <v>558</v>
      </c>
      <c r="C98" s="5">
        <v>44797</v>
      </c>
      <c r="D98" s="7">
        <v>0.55138888888888882</v>
      </c>
      <c r="E98" s="5">
        <v>44804</v>
      </c>
      <c r="F98" t="s">
        <v>405</v>
      </c>
      <c r="G98" t="s">
        <v>98</v>
      </c>
      <c r="H98" t="s">
        <v>244</v>
      </c>
      <c r="I98" t="s">
        <v>97</v>
      </c>
      <c r="J98" s="20">
        <v>12</v>
      </c>
      <c r="K98" s="20">
        <v>7.5</v>
      </c>
      <c r="L98" s="20">
        <v>2</v>
      </c>
      <c r="M98" t="s">
        <v>119</v>
      </c>
      <c r="O98" t="s">
        <v>98</v>
      </c>
      <c r="Q98" t="s">
        <v>325</v>
      </c>
      <c r="R98" t="s">
        <v>675</v>
      </c>
      <c r="S98" s="60" t="s">
        <v>675</v>
      </c>
      <c r="T98" s="60" t="s">
        <v>675</v>
      </c>
      <c r="U98" s="60" t="s">
        <v>675</v>
      </c>
      <c r="V98" s="60" t="s">
        <v>675</v>
      </c>
      <c r="W98" t="s">
        <v>98</v>
      </c>
      <c r="X98" t="s">
        <v>63</v>
      </c>
      <c r="Y98" t="s">
        <v>675</v>
      </c>
      <c r="Z98" s="20" t="s">
        <v>578</v>
      </c>
    </row>
    <row r="99" spans="1:26" x14ac:dyDescent="0.6">
      <c r="A99" s="22">
        <v>131</v>
      </c>
      <c r="B99" t="s">
        <v>558</v>
      </c>
      <c r="C99" s="5">
        <v>44797</v>
      </c>
      <c r="D99" s="7">
        <v>0.55138888888888882</v>
      </c>
      <c r="E99" s="5">
        <v>44804</v>
      </c>
      <c r="F99" t="s">
        <v>405</v>
      </c>
      <c r="G99" t="s">
        <v>119</v>
      </c>
      <c r="H99" t="s">
        <v>242</v>
      </c>
      <c r="I99" t="s">
        <v>120</v>
      </c>
      <c r="J99" s="20">
        <v>12</v>
      </c>
      <c r="K99" s="20">
        <v>9</v>
      </c>
      <c r="L99" s="20">
        <v>5</v>
      </c>
      <c r="M99" t="s">
        <v>119</v>
      </c>
      <c r="O99" t="s">
        <v>98</v>
      </c>
      <c r="Q99" t="s">
        <v>325</v>
      </c>
      <c r="R99" t="s">
        <v>448</v>
      </c>
      <c r="S99" s="60" t="s">
        <v>675</v>
      </c>
      <c r="T99" s="60">
        <v>49</v>
      </c>
      <c r="U99" s="60" t="s">
        <v>687</v>
      </c>
      <c r="V99" s="61">
        <v>44740.25</v>
      </c>
      <c r="W99" t="s">
        <v>98</v>
      </c>
      <c r="X99" t="s">
        <v>63</v>
      </c>
      <c r="Y99" t="s">
        <v>682</v>
      </c>
      <c r="Z99" s="20"/>
    </row>
    <row r="100" spans="1:26" x14ac:dyDescent="0.6">
      <c r="A100" s="22">
        <v>132</v>
      </c>
      <c r="B100" t="s">
        <v>559</v>
      </c>
      <c r="C100" s="5">
        <v>44797</v>
      </c>
      <c r="D100" s="7">
        <v>0.54791666666666672</v>
      </c>
      <c r="E100" s="5">
        <v>44804</v>
      </c>
      <c r="F100" t="s">
        <v>511</v>
      </c>
      <c r="G100" t="s">
        <v>352</v>
      </c>
      <c r="H100" t="s">
        <v>244</v>
      </c>
      <c r="I100" t="s">
        <v>47</v>
      </c>
      <c r="J100" s="20">
        <v>10</v>
      </c>
      <c r="K100" s="20">
        <v>8</v>
      </c>
      <c r="L100" s="20">
        <v>5</v>
      </c>
      <c r="M100" t="s">
        <v>118</v>
      </c>
      <c r="O100" t="s">
        <v>46</v>
      </c>
      <c r="Q100" t="s">
        <v>325</v>
      </c>
      <c r="R100" t="s">
        <v>675</v>
      </c>
      <c r="S100" s="60" t="s">
        <v>675</v>
      </c>
      <c r="T100" s="60" t="s">
        <v>675</v>
      </c>
      <c r="U100" s="60" t="s">
        <v>675</v>
      </c>
      <c r="V100" s="60" t="s">
        <v>675</v>
      </c>
      <c r="W100" t="s">
        <v>675</v>
      </c>
      <c r="X100" t="s">
        <v>675</v>
      </c>
      <c r="Y100" t="s">
        <v>675</v>
      </c>
      <c r="Z100" s="20"/>
    </row>
    <row r="101" spans="1:26" x14ac:dyDescent="0.6">
      <c r="A101" s="22">
        <v>132</v>
      </c>
      <c r="B101" t="s">
        <v>559</v>
      </c>
      <c r="C101" s="5">
        <v>44797</v>
      </c>
      <c r="D101" s="7">
        <v>0.54791666666666672</v>
      </c>
      <c r="E101" s="5">
        <v>44804</v>
      </c>
      <c r="F101" t="s">
        <v>511</v>
      </c>
      <c r="G101" t="s">
        <v>118</v>
      </c>
      <c r="H101" t="s">
        <v>242</v>
      </c>
      <c r="I101" t="s">
        <v>121</v>
      </c>
      <c r="J101" s="20">
        <v>11</v>
      </c>
      <c r="K101" s="20">
        <v>6</v>
      </c>
      <c r="L101" s="20">
        <v>5</v>
      </c>
      <c r="M101" t="s">
        <v>118</v>
      </c>
      <c r="O101" t="s">
        <v>46</v>
      </c>
      <c r="Q101" t="s">
        <v>325</v>
      </c>
      <c r="R101" t="s">
        <v>448</v>
      </c>
      <c r="S101" s="60" t="s">
        <v>675</v>
      </c>
      <c r="T101" s="60">
        <v>40</v>
      </c>
      <c r="U101" s="60" t="s">
        <v>716</v>
      </c>
      <c r="V101" s="61">
        <v>44803.25</v>
      </c>
      <c r="W101" t="s">
        <v>675</v>
      </c>
      <c r="X101" t="s">
        <v>675</v>
      </c>
      <c r="Y101" t="s">
        <v>682</v>
      </c>
      <c r="Z101" s="20" t="s">
        <v>583</v>
      </c>
    </row>
    <row r="102" spans="1:26" x14ac:dyDescent="0.6">
      <c r="A102" s="22">
        <v>133</v>
      </c>
      <c r="B102" t="s">
        <v>500</v>
      </c>
      <c r="C102" s="5">
        <v>44797</v>
      </c>
      <c r="D102" s="7">
        <v>0.54027777777777775</v>
      </c>
      <c r="E102" s="5">
        <v>44804</v>
      </c>
      <c r="F102" t="s">
        <v>536</v>
      </c>
      <c r="G102" t="s">
        <v>117</v>
      </c>
      <c r="H102" t="s">
        <v>244</v>
      </c>
      <c r="I102" t="s">
        <v>120</v>
      </c>
      <c r="J102" s="20">
        <v>13</v>
      </c>
      <c r="K102" s="20">
        <v>7.5</v>
      </c>
      <c r="L102" s="20">
        <v>7</v>
      </c>
      <c r="M102" t="s">
        <v>287</v>
      </c>
      <c r="N102" t="s">
        <v>117</v>
      </c>
      <c r="Q102" t="s">
        <v>705</v>
      </c>
      <c r="R102" t="s">
        <v>448</v>
      </c>
      <c r="S102" s="60" t="s">
        <v>675</v>
      </c>
      <c r="T102" s="60">
        <v>7</v>
      </c>
      <c r="U102" s="60" t="s">
        <v>693</v>
      </c>
      <c r="V102" s="61">
        <v>44804.25</v>
      </c>
      <c r="W102" t="s">
        <v>117</v>
      </c>
      <c r="X102" t="s">
        <v>63</v>
      </c>
      <c r="Y102" t="s">
        <v>682</v>
      </c>
      <c r="Z102" s="20" t="s">
        <v>588</v>
      </c>
    </row>
    <row r="103" spans="1:26" x14ac:dyDescent="0.6">
      <c r="A103" s="22">
        <v>133</v>
      </c>
      <c r="B103" t="s">
        <v>500</v>
      </c>
      <c r="C103" s="5">
        <v>44797</v>
      </c>
      <c r="D103" s="7">
        <v>0.54027777777777775</v>
      </c>
      <c r="E103" s="5">
        <v>44804</v>
      </c>
      <c r="F103" t="s">
        <v>536</v>
      </c>
      <c r="G103" t="s">
        <v>287</v>
      </c>
      <c r="H103" t="s">
        <v>242</v>
      </c>
      <c r="I103" t="s">
        <v>402</v>
      </c>
      <c r="J103" s="20">
        <v>9.5</v>
      </c>
      <c r="K103" s="20">
        <v>6</v>
      </c>
      <c r="L103" s="20">
        <v>4.5</v>
      </c>
      <c r="M103" t="s">
        <v>287</v>
      </c>
      <c r="N103" t="s">
        <v>117</v>
      </c>
      <c r="Q103" t="s">
        <v>705</v>
      </c>
      <c r="R103" t="s">
        <v>448</v>
      </c>
      <c r="S103" s="60" t="s">
        <v>675</v>
      </c>
      <c r="T103" s="60">
        <v>23</v>
      </c>
      <c r="U103" s="60" t="s">
        <v>709</v>
      </c>
      <c r="V103" s="61">
        <v>45167.25</v>
      </c>
      <c r="W103" t="s">
        <v>117</v>
      </c>
      <c r="X103" t="s">
        <v>63</v>
      </c>
      <c r="Y103" t="s">
        <v>682</v>
      </c>
      <c r="Z103" s="20"/>
    </row>
    <row r="104" spans="1:26" x14ac:dyDescent="0.6">
      <c r="A104" s="22">
        <v>136</v>
      </c>
      <c r="B104" t="s">
        <v>558</v>
      </c>
      <c r="C104" s="5">
        <v>44804</v>
      </c>
      <c r="D104" s="7">
        <v>0.59513888888888888</v>
      </c>
      <c r="E104" s="5">
        <v>44818</v>
      </c>
      <c r="F104" t="s">
        <v>576</v>
      </c>
      <c r="G104" t="s">
        <v>118</v>
      </c>
      <c r="H104" t="s">
        <v>242</v>
      </c>
      <c r="I104" t="s">
        <v>121</v>
      </c>
      <c r="J104" s="20">
        <v>18</v>
      </c>
      <c r="K104" s="20">
        <v>11</v>
      </c>
      <c r="L104" s="20">
        <v>9</v>
      </c>
      <c r="M104" t="s">
        <v>118</v>
      </c>
      <c r="O104" t="s">
        <v>98</v>
      </c>
      <c r="Q104" t="s">
        <v>325</v>
      </c>
      <c r="R104" t="s">
        <v>448</v>
      </c>
      <c r="S104" s="60" t="s">
        <v>675</v>
      </c>
      <c r="T104" s="60">
        <v>22</v>
      </c>
      <c r="U104" s="60" t="s">
        <v>709</v>
      </c>
      <c r="V104" s="61">
        <v>44812.25</v>
      </c>
      <c r="W104" t="s">
        <v>675</v>
      </c>
      <c r="X104" t="s">
        <v>675</v>
      </c>
      <c r="Y104" t="s">
        <v>682</v>
      </c>
      <c r="Z104" s="20" t="s">
        <v>594</v>
      </c>
    </row>
    <row r="105" spans="1:26" x14ac:dyDescent="0.6">
      <c r="A105" s="22">
        <v>136</v>
      </c>
      <c r="B105" t="s">
        <v>558</v>
      </c>
      <c r="C105" s="5">
        <v>44804</v>
      </c>
      <c r="D105" s="7">
        <v>0.59513888888888888</v>
      </c>
      <c r="E105" s="5">
        <v>44818</v>
      </c>
      <c r="F105" t="s">
        <v>576</v>
      </c>
      <c r="G105" t="s">
        <v>98</v>
      </c>
      <c r="H105" t="s">
        <v>244</v>
      </c>
      <c r="I105" t="s">
        <v>97</v>
      </c>
      <c r="J105" s="20">
        <v>10</v>
      </c>
      <c r="K105" s="20">
        <v>7.5</v>
      </c>
      <c r="L105" s="20">
        <v>3</v>
      </c>
      <c r="M105" t="s">
        <v>118</v>
      </c>
      <c r="O105" t="s">
        <v>98</v>
      </c>
      <c r="Q105" t="s">
        <v>325</v>
      </c>
      <c r="R105" t="s">
        <v>675</v>
      </c>
      <c r="S105" s="60" t="s">
        <v>675</v>
      </c>
      <c r="T105" s="60" t="s">
        <v>675</v>
      </c>
      <c r="U105" s="60" t="s">
        <v>675</v>
      </c>
      <c r="V105" s="60" t="s">
        <v>675</v>
      </c>
      <c r="W105" t="s">
        <v>675</v>
      </c>
      <c r="X105" t="s">
        <v>675</v>
      </c>
      <c r="Y105" t="s">
        <v>675</v>
      </c>
      <c r="Z105" s="20"/>
    </row>
    <row r="106" spans="1:26" x14ac:dyDescent="0.6">
      <c r="A106" s="22">
        <v>137</v>
      </c>
      <c r="B106" t="s">
        <v>559</v>
      </c>
      <c r="C106" s="5">
        <v>44804</v>
      </c>
      <c r="D106" s="7">
        <v>0.59236111111111112</v>
      </c>
      <c r="E106" s="5">
        <v>44818</v>
      </c>
      <c r="F106" t="s">
        <v>577</v>
      </c>
      <c r="G106" t="s">
        <v>284</v>
      </c>
      <c r="H106" t="s">
        <v>242</v>
      </c>
      <c r="I106" t="s">
        <v>120</v>
      </c>
      <c r="J106" s="20">
        <v>16</v>
      </c>
      <c r="K106" s="20">
        <v>13</v>
      </c>
      <c r="L106" s="20">
        <v>8</v>
      </c>
      <c r="M106" t="s">
        <v>117</v>
      </c>
      <c r="N106" t="s">
        <v>284</v>
      </c>
      <c r="Q106" t="s">
        <v>705</v>
      </c>
      <c r="R106" t="s">
        <v>708</v>
      </c>
      <c r="S106" s="60" t="s">
        <v>675</v>
      </c>
      <c r="T106" s="60" t="s">
        <v>675</v>
      </c>
      <c r="U106" s="60" t="s">
        <v>675</v>
      </c>
      <c r="V106" s="60" t="s">
        <v>720</v>
      </c>
      <c r="W106" t="s">
        <v>117</v>
      </c>
      <c r="X106" t="s">
        <v>141</v>
      </c>
      <c r="Y106" t="s">
        <v>680</v>
      </c>
      <c r="Z106" s="20"/>
    </row>
    <row r="107" spans="1:26" x14ac:dyDescent="0.6">
      <c r="A107" s="22">
        <v>137</v>
      </c>
      <c r="B107" t="s">
        <v>559</v>
      </c>
      <c r="C107" s="5">
        <v>44804</v>
      </c>
      <c r="D107" s="7">
        <v>0.59236111111111112</v>
      </c>
      <c r="E107" s="5">
        <v>44818</v>
      </c>
      <c r="F107" t="s">
        <v>577</v>
      </c>
      <c r="G107" t="s">
        <v>117</v>
      </c>
      <c r="H107" t="s">
        <v>244</v>
      </c>
      <c r="I107" t="s">
        <v>120</v>
      </c>
      <c r="J107" s="20">
        <v>5.5</v>
      </c>
      <c r="K107" s="20">
        <v>5.5</v>
      </c>
      <c r="L107" s="20">
        <v>1</v>
      </c>
      <c r="M107" t="s">
        <v>117</v>
      </c>
      <c r="N107" t="s">
        <v>284</v>
      </c>
      <c r="Q107" t="s">
        <v>705</v>
      </c>
      <c r="R107" t="s">
        <v>708</v>
      </c>
      <c r="S107" s="60" t="s">
        <v>675</v>
      </c>
      <c r="T107" s="60" t="s">
        <v>675</v>
      </c>
      <c r="U107" s="60" t="s">
        <v>675</v>
      </c>
      <c r="V107" s="60" t="s">
        <v>719</v>
      </c>
      <c r="W107" t="s">
        <v>117</v>
      </c>
      <c r="X107" t="s">
        <v>141</v>
      </c>
      <c r="Y107" t="s">
        <v>680</v>
      </c>
      <c r="Z107" s="20"/>
    </row>
    <row r="108" spans="1:26" x14ac:dyDescent="0.6">
      <c r="A108" s="22">
        <v>138</v>
      </c>
      <c r="B108" t="s">
        <v>500</v>
      </c>
      <c r="C108" s="5">
        <v>44804</v>
      </c>
      <c r="D108" s="7">
        <v>0.58888888888888891</v>
      </c>
      <c r="E108" s="5">
        <v>44818</v>
      </c>
      <c r="F108" t="s">
        <v>577</v>
      </c>
      <c r="G108" t="s">
        <v>284</v>
      </c>
      <c r="H108" t="s">
        <v>242</v>
      </c>
      <c r="I108" t="s">
        <v>120</v>
      </c>
      <c r="J108" s="20">
        <v>19</v>
      </c>
      <c r="K108" s="20">
        <v>13</v>
      </c>
      <c r="L108" s="20">
        <v>17</v>
      </c>
      <c r="M108" t="s">
        <v>117</v>
      </c>
      <c r="N108" t="s">
        <v>284</v>
      </c>
      <c r="Q108" t="s">
        <v>723</v>
      </c>
      <c r="R108" t="s">
        <v>701</v>
      </c>
      <c r="S108" s="60">
        <v>3</v>
      </c>
      <c r="T108" s="60">
        <v>13</v>
      </c>
      <c r="U108" s="60" t="s">
        <v>722</v>
      </c>
      <c r="V108" s="61">
        <v>44806.270833333336</v>
      </c>
      <c r="W108" t="s">
        <v>117</v>
      </c>
      <c r="X108" t="s">
        <v>141</v>
      </c>
      <c r="Y108" t="s">
        <v>682</v>
      </c>
      <c r="Z108" s="20"/>
    </row>
    <row r="109" spans="1:26" x14ac:dyDescent="0.6">
      <c r="A109" s="22">
        <v>138</v>
      </c>
      <c r="B109" t="s">
        <v>500</v>
      </c>
      <c r="C109" s="5">
        <v>44804</v>
      </c>
      <c r="D109" s="7">
        <v>0.58888888888888891</v>
      </c>
      <c r="E109" s="5">
        <v>44818</v>
      </c>
      <c r="F109" t="s">
        <v>577</v>
      </c>
      <c r="G109" t="s">
        <v>117</v>
      </c>
      <c r="H109" t="s">
        <v>244</v>
      </c>
      <c r="I109" t="s">
        <v>120</v>
      </c>
      <c r="J109" s="20">
        <v>7.5</v>
      </c>
      <c r="K109" s="20">
        <v>6</v>
      </c>
      <c r="L109" s="20">
        <v>5</v>
      </c>
      <c r="M109" t="s">
        <v>117</v>
      </c>
      <c r="N109" t="s">
        <v>284</v>
      </c>
      <c r="Q109" t="s">
        <v>723</v>
      </c>
      <c r="R109" t="s">
        <v>701</v>
      </c>
      <c r="S109" s="60">
        <v>9</v>
      </c>
      <c r="T109" s="60">
        <v>34</v>
      </c>
      <c r="U109" s="60" t="s">
        <v>721</v>
      </c>
      <c r="V109" s="61">
        <v>44805.25</v>
      </c>
      <c r="W109" t="s">
        <v>117</v>
      </c>
      <c r="X109" t="s">
        <v>141</v>
      </c>
      <c r="Y109" t="s">
        <v>682</v>
      </c>
      <c r="Z109" s="20"/>
    </row>
    <row r="110" spans="1:26" x14ac:dyDescent="0.6">
      <c r="A110" s="22">
        <v>139</v>
      </c>
      <c r="B110" t="s">
        <v>499</v>
      </c>
      <c r="C110" s="5">
        <v>44804</v>
      </c>
      <c r="D110" s="7">
        <v>0.5854166666666667</v>
      </c>
      <c r="E110" s="5">
        <v>44818</v>
      </c>
      <c r="F110" t="s">
        <v>405</v>
      </c>
      <c r="G110" t="s">
        <v>119</v>
      </c>
      <c r="H110" t="s">
        <v>242</v>
      </c>
      <c r="I110" t="s">
        <v>120</v>
      </c>
      <c r="J110" s="20">
        <v>15</v>
      </c>
      <c r="K110" s="20">
        <v>11</v>
      </c>
      <c r="L110" s="20">
        <v>8</v>
      </c>
      <c r="M110" t="s">
        <v>98</v>
      </c>
      <c r="O110" t="s">
        <v>119</v>
      </c>
      <c r="Q110" t="s">
        <v>325</v>
      </c>
      <c r="R110" t="s">
        <v>675</v>
      </c>
      <c r="S110" s="60" t="s">
        <v>675</v>
      </c>
      <c r="T110" s="60" t="s">
        <v>675</v>
      </c>
      <c r="U110" s="60" t="s">
        <v>675</v>
      </c>
      <c r="V110" s="60" t="s">
        <v>675</v>
      </c>
      <c r="W110" t="s">
        <v>119</v>
      </c>
      <c r="X110" t="s">
        <v>63</v>
      </c>
      <c r="Y110" t="s">
        <v>675</v>
      </c>
      <c r="Z110" s="20"/>
    </row>
    <row r="111" spans="1:26" x14ac:dyDescent="0.6">
      <c r="A111" s="22">
        <v>139</v>
      </c>
      <c r="B111" t="s">
        <v>499</v>
      </c>
      <c r="C111" s="5">
        <v>44804</v>
      </c>
      <c r="D111" s="7">
        <v>0.5854166666666667</v>
      </c>
      <c r="E111" s="5">
        <v>44818</v>
      </c>
      <c r="F111" t="s">
        <v>405</v>
      </c>
      <c r="G111" t="s">
        <v>98</v>
      </c>
      <c r="H111" t="s">
        <v>244</v>
      </c>
      <c r="I111" t="s">
        <v>97</v>
      </c>
      <c r="J111" s="20">
        <v>11.5</v>
      </c>
      <c r="K111" s="20">
        <v>5</v>
      </c>
      <c r="L111" s="20">
        <v>2</v>
      </c>
      <c r="M111" t="s">
        <v>98</v>
      </c>
      <c r="O111" t="s">
        <v>119</v>
      </c>
      <c r="Q111" t="s">
        <v>325</v>
      </c>
      <c r="R111" t="s">
        <v>448</v>
      </c>
      <c r="S111" s="60" t="s">
        <v>675</v>
      </c>
      <c r="T111" s="60">
        <v>48</v>
      </c>
      <c r="U111" s="60" t="s">
        <v>687</v>
      </c>
      <c r="V111" s="61">
        <v>44815.25</v>
      </c>
      <c r="W111" t="s">
        <v>119</v>
      </c>
      <c r="X111" t="s">
        <v>63</v>
      </c>
      <c r="Y111" t="s">
        <v>682</v>
      </c>
      <c r="Z111" s="20" t="s">
        <v>603</v>
      </c>
    </row>
    <row r="112" spans="1:26" x14ac:dyDescent="0.6">
      <c r="A112" s="22">
        <v>142</v>
      </c>
      <c r="B112" t="s">
        <v>499</v>
      </c>
      <c r="C112" s="5">
        <v>44825</v>
      </c>
      <c r="D112" s="7">
        <v>0.52777777777777779</v>
      </c>
      <c r="E112" s="5">
        <v>44834</v>
      </c>
      <c r="F112" t="s">
        <v>577</v>
      </c>
      <c r="G112" t="s">
        <v>117</v>
      </c>
      <c r="H112" t="s">
        <v>242</v>
      </c>
      <c r="I112" t="s">
        <v>120</v>
      </c>
      <c r="J112" s="20">
        <v>16</v>
      </c>
      <c r="K112" s="20">
        <v>12</v>
      </c>
      <c r="L112" s="20">
        <v>8</v>
      </c>
      <c r="M112" t="s">
        <v>284</v>
      </c>
      <c r="N112" t="s">
        <v>117</v>
      </c>
      <c r="Q112" t="s">
        <v>705</v>
      </c>
      <c r="R112" t="s">
        <v>708</v>
      </c>
      <c r="S112" s="60" t="s">
        <v>675</v>
      </c>
      <c r="T112" s="60" t="s">
        <v>675</v>
      </c>
      <c r="U112" s="60" t="s">
        <v>675</v>
      </c>
      <c r="V112" s="60" t="s">
        <v>724</v>
      </c>
      <c r="W112" t="s">
        <v>675</v>
      </c>
      <c r="X112" t="s">
        <v>675</v>
      </c>
      <c r="Y112" t="s">
        <v>680</v>
      </c>
      <c r="Z112" s="20"/>
    </row>
    <row r="113" spans="1:26" x14ac:dyDescent="0.6">
      <c r="A113" s="22">
        <v>142</v>
      </c>
      <c r="B113" t="s">
        <v>499</v>
      </c>
      <c r="C113" s="5">
        <v>44825</v>
      </c>
      <c r="D113" s="7">
        <v>0.52777777777777779</v>
      </c>
      <c r="E113" s="5">
        <v>44834</v>
      </c>
      <c r="F113" t="s">
        <v>577</v>
      </c>
      <c r="G113" t="s">
        <v>284</v>
      </c>
      <c r="H113" t="s">
        <v>244</v>
      </c>
      <c r="I113" t="s">
        <v>120</v>
      </c>
      <c r="J113" s="20">
        <v>9</v>
      </c>
      <c r="K113" s="20">
        <v>5</v>
      </c>
      <c r="L113" s="20">
        <v>4</v>
      </c>
      <c r="M113" t="s">
        <v>284</v>
      </c>
      <c r="N113" t="s">
        <v>117</v>
      </c>
      <c r="Q113" t="s">
        <v>705</v>
      </c>
      <c r="R113" t="s">
        <v>448</v>
      </c>
      <c r="S113" s="60" t="s">
        <v>675</v>
      </c>
      <c r="T113" s="60">
        <v>49</v>
      </c>
      <c r="U113" s="60" t="s">
        <v>687</v>
      </c>
      <c r="V113" s="61">
        <v>44828.25</v>
      </c>
      <c r="W113" t="s">
        <v>675</v>
      </c>
      <c r="X113" t="s">
        <v>675</v>
      </c>
      <c r="Y113" t="s">
        <v>682</v>
      </c>
      <c r="Z113" s="20"/>
    </row>
    <row r="114" spans="1:26" ht="17.05" customHeight="1" x14ac:dyDescent="0.6">
      <c r="A114" s="22">
        <v>143</v>
      </c>
      <c r="B114" t="s">
        <v>500</v>
      </c>
      <c r="C114" s="5">
        <v>44825</v>
      </c>
      <c r="D114" s="7">
        <v>0.53472222222222221</v>
      </c>
      <c r="E114" s="5">
        <v>44834</v>
      </c>
      <c r="F114" t="s">
        <v>509</v>
      </c>
      <c r="G114" t="s">
        <v>98</v>
      </c>
      <c r="H114" t="s">
        <v>242</v>
      </c>
      <c r="I114" t="s">
        <v>97</v>
      </c>
      <c r="J114" s="20">
        <v>8.5</v>
      </c>
      <c r="K114" s="20">
        <v>6</v>
      </c>
      <c r="L114" s="20">
        <v>2</v>
      </c>
      <c r="M114" t="s">
        <v>117</v>
      </c>
      <c r="O114" t="s">
        <v>98</v>
      </c>
      <c r="Q114" t="s">
        <v>325</v>
      </c>
      <c r="R114" t="s">
        <v>675</v>
      </c>
      <c r="S114" s="60" t="s">
        <v>675</v>
      </c>
      <c r="T114" s="60" t="s">
        <v>675</v>
      </c>
      <c r="U114" s="60" t="s">
        <v>675</v>
      </c>
      <c r="V114" s="60" t="s">
        <v>675</v>
      </c>
      <c r="W114" t="s">
        <v>117</v>
      </c>
      <c r="X114" t="s">
        <v>141</v>
      </c>
      <c r="Y114" t="s">
        <v>675</v>
      </c>
      <c r="Z114" s="20"/>
    </row>
    <row r="115" spans="1:26" ht="17.05" customHeight="1" x14ac:dyDescent="0.6">
      <c r="A115" s="22">
        <v>143</v>
      </c>
      <c r="B115" t="s">
        <v>500</v>
      </c>
      <c r="C115" s="5">
        <v>44825</v>
      </c>
      <c r="D115" s="7">
        <v>0.53472222222222221</v>
      </c>
      <c r="E115" s="5">
        <v>44834</v>
      </c>
      <c r="F115" t="s">
        <v>509</v>
      </c>
      <c r="G115" t="s">
        <v>117</v>
      </c>
      <c r="H115" t="s">
        <v>244</v>
      </c>
      <c r="I115" t="s">
        <v>120</v>
      </c>
      <c r="J115" s="20">
        <v>16</v>
      </c>
      <c r="K115" s="20">
        <v>10</v>
      </c>
      <c r="L115" s="20">
        <v>3</v>
      </c>
      <c r="M115" t="s">
        <v>117</v>
      </c>
      <c r="O115" t="s">
        <v>98</v>
      </c>
      <c r="Q115" t="s">
        <v>325</v>
      </c>
      <c r="R115" t="s">
        <v>448</v>
      </c>
      <c r="S115" s="60" t="s">
        <v>675</v>
      </c>
      <c r="T115" s="60">
        <v>49</v>
      </c>
      <c r="U115" s="60" t="s">
        <v>687</v>
      </c>
      <c r="V115" s="61">
        <v>44830.25</v>
      </c>
      <c r="W115" t="s">
        <v>117</v>
      </c>
      <c r="X115" t="s">
        <v>141</v>
      </c>
      <c r="Y115" t="s">
        <v>682</v>
      </c>
      <c r="Z115" s="20"/>
    </row>
    <row r="116" spans="1:26" x14ac:dyDescent="0.6">
      <c r="A116" s="22">
        <v>149</v>
      </c>
      <c r="B116" t="s">
        <v>559</v>
      </c>
      <c r="C116" s="5">
        <v>44834</v>
      </c>
      <c r="D116" s="7">
        <v>0.57777777777777783</v>
      </c>
      <c r="E116" s="5">
        <v>44839</v>
      </c>
      <c r="F116" t="s">
        <v>509</v>
      </c>
      <c r="G116" t="s">
        <v>117</v>
      </c>
      <c r="H116" t="s">
        <v>242</v>
      </c>
      <c r="I116" t="s">
        <v>120</v>
      </c>
      <c r="J116" s="20">
        <v>16</v>
      </c>
      <c r="K116" s="20">
        <v>8</v>
      </c>
      <c r="L116" s="20">
        <v>8</v>
      </c>
      <c r="M116" t="s">
        <v>98</v>
      </c>
      <c r="O116" t="s">
        <v>117</v>
      </c>
      <c r="Q116" t="s">
        <v>325</v>
      </c>
      <c r="R116" t="s">
        <v>675</v>
      </c>
      <c r="S116" s="60" t="s">
        <v>675</v>
      </c>
      <c r="T116" s="60" t="s">
        <v>675</v>
      </c>
      <c r="U116" s="60" t="s">
        <v>675</v>
      </c>
      <c r="V116" s="60" t="s">
        <v>675</v>
      </c>
      <c r="W116" t="s">
        <v>98</v>
      </c>
      <c r="X116" t="s">
        <v>141</v>
      </c>
      <c r="Y116" t="s">
        <v>675</v>
      </c>
      <c r="Z116" s="20"/>
    </row>
    <row r="117" spans="1:26" x14ac:dyDescent="0.6">
      <c r="A117" s="22">
        <v>149</v>
      </c>
      <c r="B117" t="s">
        <v>559</v>
      </c>
      <c r="C117" s="5">
        <v>44834</v>
      </c>
      <c r="D117" s="7">
        <v>0.57777777777777783</v>
      </c>
      <c r="E117" s="5">
        <v>44839</v>
      </c>
      <c r="F117" t="s">
        <v>509</v>
      </c>
      <c r="G117" t="s">
        <v>98</v>
      </c>
      <c r="H117" t="s">
        <v>244</v>
      </c>
      <c r="I117" t="s">
        <v>97</v>
      </c>
      <c r="J117" s="20">
        <v>9</v>
      </c>
      <c r="K117" s="20">
        <v>6</v>
      </c>
      <c r="L117" s="20">
        <v>3</v>
      </c>
      <c r="M117" t="s">
        <v>98</v>
      </c>
      <c r="O117" t="s">
        <v>117</v>
      </c>
      <c r="Q117" t="s">
        <v>325</v>
      </c>
      <c r="R117" t="s">
        <v>701</v>
      </c>
      <c r="S117" s="60">
        <v>12</v>
      </c>
      <c r="T117" s="60">
        <v>48</v>
      </c>
      <c r="U117" s="60" t="s">
        <v>687</v>
      </c>
      <c r="V117" s="61">
        <v>44837.25</v>
      </c>
      <c r="W117" t="s">
        <v>98</v>
      </c>
      <c r="X117" t="s">
        <v>141</v>
      </c>
      <c r="Y117" t="s">
        <v>682</v>
      </c>
      <c r="Z117" s="20"/>
    </row>
    <row r="118" spans="1:26" x14ac:dyDescent="0.6">
      <c r="A118" s="22">
        <v>152</v>
      </c>
      <c r="B118" t="s">
        <v>499</v>
      </c>
      <c r="C118" s="5">
        <v>44846</v>
      </c>
      <c r="D118" s="7">
        <v>0.58750000000000002</v>
      </c>
      <c r="E118" s="5">
        <v>44853</v>
      </c>
      <c r="F118" t="s">
        <v>509</v>
      </c>
      <c r="G118" t="s">
        <v>117</v>
      </c>
      <c r="H118" t="s">
        <v>242</v>
      </c>
      <c r="I118" t="s">
        <v>120</v>
      </c>
      <c r="J118" s="20">
        <v>16</v>
      </c>
      <c r="K118" s="20">
        <v>13</v>
      </c>
      <c r="L118" s="20">
        <v>5</v>
      </c>
      <c r="M118" t="s">
        <v>117</v>
      </c>
      <c r="N118" t="s">
        <v>98</v>
      </c>
      <c r="Q118" t="s">
        <v>705</v>
      </c>
      <c r="R118" t="s">
        <v>708</v>
      </c>
      <c r="S118" s="60" t="s">
        <v>675</v>
      </c>
      <c r="T118" s="60" t="s">
        <v>675</v>
      </c>
      <c r="U118" s="60" t="s">
        <v>675</v>
      </c>
      <c r="V118" s="60" t="s">
        <v>725</v>
      </c>
      <c r="W118" t="s">
        <v>117</v>
      </c>
      <c r="X118" t="s">
        <v>141</v>
      </c>
      <c r="Y118" t="s">
        <v>680</v>
      </c>
      <c r="Z118" s="20"/>
    </row>
    <row r="119" spans="1:26" x14ac:dyDescent="0.6">
      <c r="A119" s="22">
        <v>152</v>
      </c>
      <c r="B119" t="s">
        <v>499</v>
      </c>
      <c r="C119" s="5">
        <v>44846</v>
      </c>
      <c r="D119" s="7">
        <v>0.58750000000000002</v>
      </c>
      <c r="E119" s="5">
        <v>44853</v>
      </c>
      <c r="F119" t="s">
        <v>509</v>
      </c>
      <c r="G119" t="s">
        <v>98</v>
      </c>
      <c r="H119" t="s">
        <v>244</v>
      </c>
      <c r="I119" t="s">
        <v>97</v>
      </c>
      <c r="J119" s="20">
        <v>10</v>
      </c>
      <c r="K119" s="20">
        <v>8.5</v>
      </c>
      <c r="L119" s="20">
        <v>2.5</v>
      </c>
      <c r="M119" t="s">
        <v>117</v>
      </c>
      <c r="N119" t="s">
        <v>98</v>
      </c>
      <c r="Q119" t="s">
        <v>705</v>
      </c>
      <c r="R119" t="s">
        <v>448</v>
      </c>
      <c r="S119" s="60" t="s">
        <v>675</v>
      </c>
      <c r="T119" s="60">
        <v>47</v>
      </c>
      <c r="U119" s="60" t="s">
        <v>687</v>
      </c>
      <c r="V119" s="61">
        <v>44849.25</v>
      </c>
      <c r="W119" t="s">
        <v>117</v>
      </c>
      <c r="X119" t="s">
        <v>141</v>
      </c>
      <c r="Y119" t="s">
        <v>682</v>
      </c>
      <c r="Z119" s="20"/>
    </row>
    <row r="120" spans="1:26" x14ac:dyDescent="0.6">
      <c r="A120" s="22">
        <v>154</v>
      </c>
      <c r="B120" t="s">
        <v>559</v>
      </c>
      <c r="C120" s="5">
        <v>44846</v>
      </c>
      <c r="D120" s="7">
        <v>0.57638888888888895</v>
      </c>
      <c r="E120" s="5">
        <v>44853</v>
      </c>
      <c r="F120" t="s">
        <v>616</v>
      </c>
      <c r="G120" t="s">
        <v>98</v>
      </c>
      <c r="H120" t="s">
        <v>242</v>
      </c>
      <c r="I120" t="s">
        <v>97</v>
      </c>
      <c r="J120" s="20">
        <v>10</v>
      </c>
      <c r="K120" s="20">
        <v>7</v>
      </c>
      <c r="L120" s="20">
        <v>3</v>
      </c>
      <c r="M120" t="s">
        <v>98</v>
      </c>
      <c r="N120" t="s">
        <v>46</v>
      </c>
      <c r="Q120" t="s">
        <v>705</v>
      </c>
      <c r="R120" t="s">
        <v>448</v>
      </c>
      <c r="S120" s="60" t="s">
        <v>675</v>
      </c>
      <c r="T120" s="60">
        <v>47</v>
      </c>
      <c r="U120" s="60" t="s">
        <v>687</v>
      </c>
      <c r="V120" s="61">
        <v>44848.25</v>
      </c>
      <c r="W120" t="s">
        <v>675</v>
      </c>
      <c r="X120" t="s">
        <v>675</v>
      </c>
      <c r="Y120" t="s">
        <v>682</v>
      </c>
      <c r="Z120" s="20"/>
    </row>
    <row r="121" spans="1:26" ht="18" customHeight="1" x14ac:dyDescent="0.6">
      <c r="A121" s="22">
        <v>154</v>
      </c>
      <c r="B121" t="s">
        <v>559</v>
      </c>
      <c r="C121" s="5">
        <v>44846</v>
      </c>
      <c r="D121" s="7">
        <v>0.57638888888888895</v>
      </c>
      <c r="E121" s="5">
        <v>44853</v>
      </c>
      <c r="F121" t="s">
        <v>616</v>
      </c>
      <c r="G121" t="s">
        <v>352</v>
      </c>
      <c r="H121" t="s">
        <v>244</v>
      </c>
      <c r="I121" t="s">
        <v>47</v>
      </c>
      <c r="J121" s="20">
        <v>19</v>
      </c>
      <c r="K121" s="20">
        <v>13</v>
      </c>
      <c r="L121" s="20">
        <v>8</v>
      </c>
      <c r="M121" t="s">
        <v>98</v>
      </c>
      <c r="N121" t="s">
        <v>46</v>
      </c>
      <c r="Q121" t="s">
        <v>705</v>
      </c>
      <c r="R121" t="s">
        <v>448</v>
      </c>
      <c r="S121" s="60" t="s">
        <v>675</v>
      </c>
      <c r="T121" s="60">
        <v>25</v>
      </c>
      <c r="U121" s="60" t="s">
        <v>700</v>
      </c>
      <c r="V121" s="61">
        <v>44851.25</v>
      </c>
      <c r="W121" t="s">
        <v>675</v>
      </c>
      <c r="X121" t="s">
        <v>675</v>
      </c>
      <c r="Y121" t="s">
        <v>682</v>
      </c>
      <c r="Z121" s="20"/>
    </row>
    <row r="122" spans="1:26" x14ac:dyDescent="0.6">
      <c r="A122" s="22">
        <v>155</v>
      </c>
      <c r="B122" t="s">
        <v>558</v>
      </c>
      <c r="C122" s="5">
        <v>44846</v>
      </c>
      <c r="D122" s="7">
        <v>0.57291666666666663</v>
      </c>
      <c r="E122" s="5">
        <v>44853</v>
      </c>
      <c r="F122" t="s">
        <v>616</v>
      </c>
      <c r="G122" t="s">
        <v>352</v>
      </c>
      <c r="H122" t="s">
        <v>242</v>
      </c>
      <c r="I122" t="s">
        <v>47</v>
      </c>
      <c r="J122" s="20">
        <v>14</v>
      </c>
      <c r="K122" s="20">
        <v>13</v>
      </c>
      <c r="L122" s="20">
        <v>5</v>
      </c>
      <c r="M122" t="s">
        <v>98</v>
      </c>
      <c r="O122" t="s">
        <v>46</v>
      </c>
      <c r="Q122" t="s">
        <v>325</v>
      </c>
      <c r="R122" t="s">
        <v>675</v>
      </c>
      <c r="S122" s="60" t="s">
        <v>675</v>
      </c>
      <c r="T122" s="60" t="s">
        <v>675</v>
      </c>
      <c r="U122" s="60" t="s">
        <v>675</v>
      </c>
      <c r="V122" s="60" t="s">
        <v>675</v>
      </c>
      <c r="W122" t="s">
        <v>46</v>
      </c>
      <c r="X122" t="s">
        <v>63</v>
      </c>
      <c r="Y122" t="s">
        <v>675</v>
      </c>
      <c r="Z122" s="20"/>
    </row>
    <row r="123" spans="1:26" x14ac:dyDescent="0.6">
      <c r="A123" s="22">
        <v>155</v>
      </c>
      <c r="B123" t="s">
        <v>558</v>
      </c>
      <c r="C123" s="5">
        <v>44846</v>
      </c>
      <c r="D123" s="7">
        <v>0.57291666666666663</v>
      </c>
      <c r="E123" s="5">
        <v>44853</v>
      </c>
      <c r="F123" t="s">
        <v>616</v>
      </c>
      <c r="G123" t="s">
        <v>98</v>
      </c>
      <c r="H123" t="s">
        <v>244</v>
      </c>
      <c r="I123" t="s">
        <v>97</v>
      </c>
      <c r="J123" s="20">
        <v>11</v>
      </c>
      <c r="K123" s="20">
        <v>7.5</v>
      </c>
      <c r="L123" s="20">
        <v>3</v>
      </c>
      <c r="M123" t="s">
        <v>98</v>
      </c>
      <c r="O123" t="s">
        <v>46</v>
      </c>
      <c r="Q123" t="s">
        <v>325</v>
      </c>
      <c r="R123" t="s">
        <v>448</v>
      </c>
      <c r="S123" s="60" t="s">
        <v>675</v>
      </c>
      <c r="T123" s="60">
        <v>48</v>
      </c>
      <c r="U123" s="60" t="s">
        <v>687</v>
      </c>
      <c r="V123" s="61">
        <v>44847.25</v>
      </c>
      <c r="W123" t="s">
        <v>46</v>
      </c>
      <c r="X123" t="s">
        <v>63</v>
      </c>
      <c r="Y123" t="s">
        <v>682</v>
      </c>
      <c r="Z123" s="20"/>
    </row>
    <row r="124" spans="1:26" x14ac:dyDescent="0.6">
      <c r="A124" s="22">
        <v>156</v>
      </c>
      <c r="B124" t="s">
        <v>560</v>
      </c>
      <c r="C124" s="5">
        <v>44853</v>
      </c>
      <c r="D124" s="7">
        <v>0.58680555555555558</v>
      </c>
      <c r="E124" s="5">
        <v>44860</v>
      </c>
      <c r="F124" t="s">
        <v>253</v>
      </c>
      <c r="G124" t="s">
        <v>119</v>
      </c>
      <c r="H124" t="s">
        <v>242</v>
      </c>
      <c r="I124" t="s">
        <v>120</v>
      </c>
      <c r="J124" s="20">
        <v>12</v>
      </c>
      <c r="K124" s="20">
        <v>11.5</v>
      </c>
      <c r="L124" s="20">
        <v>7.5</v>
      </c>
      <c r="M124" t="s">
        <v>117</v>
      </c>
      <c r="N124" t="s">
        <v>119</v>
      </c>
      <c r="Q124" t="s">
        <v>705</v>
      </c>
      <c r="R124" t="s">
        <v>708</v>
      </c>
      <c r="S124" s="60" t="s">
        <v>675</v>
      </c>
      <c r="T124" s="60" t="s">
        <v>675</v>
      </c>
      <c r="U124" s="60" t="s">
        <v>675</v>
      </c>
      <c r="V124" s="60" t="s">
        <v>726</v>
      </c>
      <c r="W124" t="s">
        <v>117</v>
      </c>
      <c r="X124" t="s">
        <v>141</v>
      </c>
      <c r="Y124" t="s">
        <v>680</v>
      </c>
      <c r="Z124" s="20"/>
    </row>
    <row r="125" spans="1:26" x14ac:dyDescent="0.6">
      <c r="A125" s="22">
        <v>156</v>
      </c>
      <c r="B125" t="s">
        <v>560</v>
      </c>
      <c r="C125" s="5">
        <v>44853</v>
      </c>
      <c r="D125" s="7">
        <v>0.58680555555555558</v>
      </c>
      <c r="E125" s="5">
        <v>44860</v>
      </c>
      <c r="F125" t="s">
        <v>253</v>
      </c>
      <c r="G125" t="s">
        <v>117</v>
      </c>
      <c r="H125" t="s">
        <v>244</v>
      </c>
      <c r="I125" t="s">
        <v>120</v>
      </c>
      <c r="J125" s="20">
        <v>8.5</v>
      </c>
      <c r="K125" s="20">
        <v>5.5</v>
      </c>
      <c r="L125" s="20">
        <v>3.5</v>
      </c>
      <c r="M125" t="s">
        <v>117</v>
      </c>
      <c r="N125" t="s">
        <v>119</v>
      </c>
      <c r="Q125" t="s">
        <v>705</v>
      </c>
      <c r="R125" t="s">
        <v>708</v>
      </c>
      <c r="S125" s="60" t="s">
        <v>675</v>
      </c>
      <c r="T125" s="60" t="s">
        <v>675</v>
      </c>
      <c r="U125" s="60" t="s">
        <v>675</v>
      </c>
      <c r="V125" s="60" t="s">
        <v>727</v>
      </c>
      <c r="W125" t="s">
        <v>117</v>
      </c>
      <c r="X125" t="s">
        <v>141</v>
      </c>
      <c r="Y125" t="s">
        <v>680</v>
      </c>
      <c r="Z125" s="20"/>
    </row>
    <row r="126" spans="1:26" x14ac:dyDescent="0.6">
      <c r="A126" s="22">
        <v>157</v>
      </c>
      <c r="B126" t="s">
        <v>499</v>
      </c>
      <c r="C126" s="5">
        <v>44853</v>
      </c>
      <c r="D126" s="7">
        <v>0.59375</v>
      </c>
      <c r="E126" s="5">
        <v>44860</v>
      </c>
      <c r="F126" t="s">
        <v>386</v>
      </c>
      <c r="G126" t="s">
        <v>288</v>
      </c>
      <c r="H126" t="s">
        <v>242</v>
      </c>
      <c r="I126" t="s">
        <v>120</v>
      </c>
      <c r="J126" s="20">
        <v>19</v>
      </c>
      <c r="K126" s="20">
        <v>16</v>
      </c>
      <c r="L126" s="20">
        <v>8</v>
      </c>
      <c r="M126" t="s">
        <v>66</v>
      </c>
      <c r="O126" t="s">
        <v>288</v>
      </c>
      <c r="Q126" t="s">
        <v>325</v>
      </c>
      <c r="R126" t="s">
        <v>675</v>
      </c>
      <c r="S126" s="60" t="s">
        <v>675</v>
      </c>
      <c r="T126" s="60" t="s">
        <v>675</v>
      </c>
      <c r="U126" s="60" t="s">
        <v>675</v>
      </c>
      <c r="V126" t="s">
        <v>675</v>
      </c>
      <c r="W126" t="s">
        <v>66</v>
      </c>
      <c r="X126" t="s">
        <v>141</v>
      </c>
      <c r="Y126" t="s">
        <v>675</v>
      </c>
      <c r="Z126" s="20"/>
    </row>
    <row r="127" spans="1:26" x14ac:dyDescent="0.6">
      <c r="A127" s="22">
        <v>157</v>
      </c>
      <c r="B127" t="s">
        <v>499</v>
      </c>
      <c r="C127" s="5">
        <v>44853</v>
      </c>
      <c r="D127" s="7">
        <v>0.59375</v>
      </c>
      <c r="E127" s="5">
        <v>44860</v>
      </c>
      <c r="F127" t="s">
        <v>386</v>
      </c>
      <c r="G127" t="s">
        <v>351</v>
      </c>
      <c r="H127" t="s">
        <v>244</v>
      </c>
      <c r="I127" t="s">
        <v>67</v>
      </c>
      <c r="J127" s="20">
        <v>15.5</v>
      </c>
      <c r="K127" s="20">
        <v>9</v>
      </c>
      <c r="L127" s="20">
        <v>13</v>
      </c>
      <c r="M127" t="s">
        <v>66</v>
      </c>
      <c r="O127" t="s">
        <v>288</v>
      </c>
      <c r="Q127" t="s">
        <v>325</v>
      </c>
      <c r="R127" t="s">
        <v>701</v>
      </c>
      <c r="S127" s="60">
        <v>3</v>
      </c>
      <c r="T127" s="60">
        <v>12</v>
      </c>
      <c r="U127" s="60" t="s">
        <v>722</v>
      </c>
      <c r="V127" s="61">
        <v>44854.25</v>
      </c>
      <c r="W127" t="s">
        <v>66</v>
      </c>
      <c r="X127" t="s">
        <v>141</v>
      </c>
      <c r="Y127" t="s">
        <v>682</v>
      </c>
      <c r="Z127" s="20"/>
    </row>
    <row r="128" spans="1:26" x14ac:dyDescent="0.6">
      <c r="A128" s="22">
        <v>158</v>
      </c>
      <c r="B128" t="s">
        <v>500</v>
      </c>
      <c r="C128" s="5">
        <v>44853</v>
      </c>
      <c r="D128" s="7">
        <v>0.6777777777777777</v>
      </c>
      <c r="E128" s="5">
        <v>44860</v>
      </c>
      <c r="F128" t="s">
        <v>390</v>
      </c>
      <c r="G128" t="s">
        <v>284</v>
      </c>
      <c r="H128" t="s">
        <v>242</v>
      </c>
      <c r="I128" t="s">
        <v>120</v>
      </c>
      <c r="J128" s="20">
        <v>12</v>
      </c>
      <c r="K128" s="20">
        <v>7</v>
      </c>
      <c r="L128" s="20">
        <v>6</v>
      </c>
      <c r="M128" t="s">
        <v>66</v>
      </c>
      <c r="N128" t="s">
        <v>284</v>
      </c>
      <c r="Q128" t="s">
        <v>723</v>
      </c>
      <c r="R128" t="s">
        <v>701</v>
      </c>
      <c r="S128" s="60">
        <v>11</v>
      </c>
      <c r="T128" s="60">
        <v>43</v>
      </c>
      <c r="U128" s="60" t="s">
        <v>677</v>
      </c>
      <c r="V128" s="61">
        <v>44856.25</v>
      </c>
      <c r="W128" t="s">
        <v>66</v>
      </c>
      <c r="X128" t="s">
        <v>141</v>
      </c>
      <c r="Y128" t="s">
        <v>682</v>
      </c>
      <c r="Z128" s="20"/>
    </row>
    <row r="129" spans="1:26" x14ac:dyDescent="0.6">
      <c r="A129" s="22">
        <v>158</v>
      </c>
      <c r="B129" t="s">
        <v>500</v>
      </c>
      <c r="C129" s="5">
        <v>44853</v>
      </c>
      <c r="D129" s="7">
        <v>0.6777777777777777</v>
      </c>
      <c r="E129" s="5">
        <v>44860</v>
      </c>
      <c r="F129" t="s">
        <v>390</v>
      </c>
      <c r="G129" t="s">
        <v>351</v>
      </c>
      <c r="H129" t="s">
        <v>244</v>
      </c>
      <c r="I129" t="s">
        <v>67</v>
      </c>
      <c r="J129" s="20">
        <v>9</v>
      </c>
      <c r="K129" s="20">
        <v>7.5</v>
      </c>
      <c r="L129" s="20">
        <v>4</v>
      </c>
      <c r="M129" t="s">
        <v>66</v>
      </c>
      <c r="N129" t="s">
        <v>284</v>
      </c>
      <c r="Q129" t="s">
        <v>723</v>
      </c>
      <c r="R129" t="s">
        <v>708</v>
      </c>
      <c r="S129" s="60" t="s">
        <v>675</v>
      </c>
      <c r="T129" s="60" t="s">
        <v>675</v>
      </c>
      <c r="U129" s="60" t="s">
        <v>675</v>
      </c>
      <c r="V129" s="60" t="s">
        <v>727</v>
      </c>
      <c r="W129" t="s">
        <v>66</v>
      </c>
      <c r="X129" t="s">
        <v>141</v>
      </c>
      <c r="Y129" t="s">
        <v>680</v>
      </c>
      <c r="Z129" s="20"/>
    </row>
    <row r="130" spans="1:26" x14ac:dyDescent="0.6">
      <c r="A130" s="22">
        <v>160</v>
      </c>
      <c r="B130" t="s">
        <v>558</v>
      </c>
      <c r="C130" s="5">
        <v>44853</v>
      </c>
      <c r="D130" s="7">
        <v>0.69027777777777777</v>
      </c>
      <c r="E130" s="5">
        <v>44860</v>
      </c>
      <c r="F130" t="s">
        <v>577</v>
      </c>
      <c r="G130" t="s">
        <v>284</v>
      </c>
      <c r="H130" t="s">
        <v>242</v>
      </c>
      <c r="I130" t="s">
        <v>120</v>
      </c>
      <c r="J130" s="20">
        <v>6</v>
      </c>
      <c r="K130" s="20">
        <v>5</v>
      </c>
      <c r="L130" s="20">
        <v>5.5</v>
      </c>
      <c r="M130" t="s">
        <v>117</v>
      </c>
      <c r="O130" t="s">
        <v>284</v>
      </c>
      <c r="Q130" t="s">
        <v>325</v>
      </c>
      <c r="R130" t="s">
        <v>675</v>
      </c>
      <c r="S130" s="60" t="s">
        <v>675</v>
      </c>
      <c r="T130" s="60" t="s">
        <v>675</v>
      </c>
      <c r="U130" s="60" t="s">
        <v>675</v>
      </c>
      <c r="V130" t="s">
        <v>675</v>
      </c>
      <c r="W130" t="s">
        <v>284</v>
      </c>
      <c r="X130" t="s">
        <v>63</v>
      </c>
      <c r="Y130" t="s">
        <v>675</v>
      </c>
      <c r="Z130" s="20"/>
    </row>
    <row r="131" spans="1:26" x14ac:dyDescent="0.6">
      <c r="A131" s="22">
        <v>160</v>
      </c>
      <c r="B131" t="s">
        <v>558</v>
      </c>
      <c r="C131" s="5">
        <v>44853</v>
      </c>
      <c r="D131" s="7">
        <v>0.69027777777777777</v>
      </c>
      <c r="E131" s="5">
        <v>44860</v>
      </c>
      <c r="F131" t="s">
        <v>577</v>
      </c>
      <c r="G131" t="s">
        <v>117</v>
      </c>
      <c r="H131" t="s">
        <v>244</v>
      </c>
      <c r="I131" t="s">
        <v>120</v>
      </c>
      <c r="J131" s="20">
        <v>6.5</v>
      </c>
      <c r="K131" s="20">
        <v>4</v>
      </c>
      <c r="L131" s="20">
        <v>4.5</v>
      </c>
      <c r="M131" t="s">
        <v>117</v>
      </c>
      <c r="O131" t="s">
        <v>284</v>
      </c>
      <c r="Q131" t="s">
        <v>325</v>
      </c>
      <c r="R131" t="s">
        <v>448</v>
      </c>
      <c r="S131" s="60" t="s">
        <v>675</v>
      </c>
      <c r="T131" s="60">
        <v>31</v>
      </c>
      <c r="U131" s="60" t="s">
        <v>700</v>
      </c>
      <c r="V131" s="61">
        <v>44857.25</v>
      </c>
      <c r="W131" t="s">
        <v>284</v>
      </c>
      <c r="X131" t="s">
        <v>63</v>
      </c>
      <c r="Y131" t="s">
        <v>682</v>
      </c>
      <c r="Z131" s="20"/>
    </row>
    <row r="132" spans="1:26" x14ac:dyDescent="0.6">
      <c r="A132" s="22">
        <v>166</v>
      </c>
      <c r="B132" t="s">
        <v>560</v>
      </c>
      <c r="C132" s="5">
        <v>44895</v>
      </c>
      <c r="D132" s="7">
        <v>0.53888888888888886</v>
      </c>
      <c r="E132" s="5">
        <v>44902</v>
      </c>
      <c r="F132" t="s">
        <v>401</v>
      </c>
      <c r="G132" t="s">
        <v>351</v>
      </c>
      <c r="H132" t="s">
        <v>242</v>
      </c>
      <c r="I132" t="s">
        <v>67</v>
      </c>
      <c r="J132" s="20">
        <v>5</v>
      </c>
      <c r="K132" s="20">
        <v>4</v>
      </c>
      <c r="L132" s="20">
        <v>4</v>
      </c>
      <c r="M132" t="s">
        <v>66</v>
      </c>
      <c r="N132" t="s">
        <v>287</v>
      </c>
      <c r="Q132" t="s">
        <v>723</v>
      </c>
      <c r="R132" t="s">
        <v>708</v>
      </c>
      <c r="S132" s="60" t="s">
        <v>675</v>
      </c>
      <c r="U132" s="60" t="s">
        <v>675</v>
      </c>
      <c r="V132" s="60" t="s">
        <v>728</v>
      </c>
      <c r="W132" t="s">
        <v>287</v>
      </c>
      <c r="X132" t="s">
        <v>63</v>
      </c>
      <c r="Y132" t="s">
        <v>680</v>
      </c>
      <c r="Z132" s="20"/>
    </row>
    <row r="133" spans="1:26" x14ac:dyDescent="0.6">
      <c r="A133" s="22">
        <v>166</v>
      </c>
      <c r="B133" t="s">
        <v>560</v>
      </c>
      <c r="C133" s="5">
        <v>44895</v>
      </c>
      <c r="D133" s="7">
        <v>0.53888888888888886</v>
      </c>
      <c r="E133" s="5">
        <v>44902</v>
      </c>
      <c r="F133" t="s">
        <v>401</v>
      </c>
      <c r="G133" t="s">
        <v>287</v>
      </c>
      <c r="H133" t="s">
        <v>244</v>
      </c>
      <c r="I133" t="s">
        <v>402</v>
      </c>
      <c r="J133" s="20">
        <v>4.5</v>
      </c>
      <c r="K133" s="20">
        <v>4</v>
      </c>
      <c r="L133" s="20">
        <v>1.5</v>
      </c>
      <c r="M133" t="s">
        <v>66</v>
      </c>
      <c r="N133" t="s">
        <v>287</v>
      </c>
      <c r="Q133" t="s">
        <v>723</v>
      </c>
      <c r="R133" t="s">
        <v>701</v>
      </c>
      <c r="S133" s="60">
        <v>6</v>
      </c>
      <c r="T133" s="60">
        <v>26</v>
      </c>
      <c r="U133" s="60" t="s">
        <v>709</v>
      </c>
      <c r="V133" s="61">
        <v>44897.25</v>
      </c>
      <c r="W133" t="s">
        <v>287</v>
      </c>
      <c r="X133" t="s">
        <v>63</v>
      </c>
      <c r="Y133" t="s">
        <v>682</v>
      </c>
      <c r="Z133" s="20"/>
    </row>
    <row r="134" spans="1:26" x14ac:dyDescent="0.6">
      <c r="A134" s="22">
        <v>167</v>
      </c>
      <c r="B134" t="s">
        <v>499</v>
      </c>
      <c r="C134" s="5">
        <v>44895</v>
      </c>
      <c r="D134" s="7">
        <v>0.54305555555555551</v>
      </c>
      <c r="E134" s="5">
        <v>44902</v>
      </c>
      <c r="F134" t="s">
        <v>390</v>
      </c>
      <c r="G134" t="s">
        <v>351</v>
      </c>
      <c r="H134" t="s">
        <v>242</v>
      </c>
      <c r="I134" t="s">
        <v>67</v>
      </c>
      <c r="J134" s="20">
        <v>5.5</v>
      </c>
      <c r="K134" s="20">
        <v>1.5</v>
      </c>
      <c r="L134" s="20">
        <v>12.5</v>
      </c>
      <c r="M134" t="s">
        <v>284</v>
      </c>
      <c r="N134" t="s">
        <v>66</v>
      </c>
      <c r="Q134" t="s">
        <v>705</v>
      </c>
      <c r="R134" t="s">
        <v>708</v>
      </c>
      <c r="S134" s="60" t="s">
        <v>675</v>
      </c>
      <c r="T134" s="60" t="s">
        <v>675</v>
      </c>
      <c r="U134" s="60" t="s">
        <v>675</v>
      </c>
      <c r="V134" s="60" t="s">
        <v>728</v>
      </c>
      <c r="W134" t="s">
        <v>284</v>
      </c>
      <c r="X134" t="s">
        <v>141</v>
      </c>
      <c r="Y134" s="60" t="s">
        <v>680</v>
      </c>
      <c r="Z134" s="20"/>
    </row>
    <row r="135" spans="1:26" x14ac:dyDescent="0.6">
      <c r="A135" s="22">
        <v>167</v>
      </c>
      <c r="B135" t="s">
        <v>499</v>
      </c>
      <c r="C135" s="5">
        <v>44895</v>
      </c>
      <c r="D135" s="7">
        <v>0.54305555555555551</v>
      </c>
      <c r="E135" s="5">
        <v>44902</v>
      </c>
      <c r="F135" t="s">
        <v>390</v>
      </c>
      <c r="G135" t="s">
        <v>284</v>
      </c>
      <c r="H135" t="s">
        <v>244</v>
      </c>
      <c r="I135" t="s">
        <v>120</v>
      </c>
      <c r="J135" s="20">
        <v>7</v>
      </c>
      <c r="K135" s="20">
        <v>3.5</v>
      </c>
      <c r="L135" s="20">
        <v>4</v>
      </c>
      <c r="M135" t="s">
        <v>284</v>
      </c>
      <c r="N135" t="s">
        <v>66</v>
      </c>
      <c r="Q135" t="s">
        <v>705</v>
      </c>
      <c r="R135" t="s">
        <v>708</v>
      </c>
      <c r="S135" s="60" t="s">
        <v>675</v>
      </c>
      <c r="T135" s="60" t="s">
        <v>675</v>
      </c>
      <c r="U135" s="60" t="s">
        <v>675</v>
      </c>
      <c r="V135" s="60" t="s">
        <v>729</v>
      </c>
      <c r="W135" t="s">
        <v>284</v>
      </c>
      <c r="X135" t="s">
        <v>141</v>
      </c>
      <c r="Y135" s="60" t="s">
        <v>680</v>
      </c>
      <c r="Z135" s="20"/>
    </row>
    <row r="136" spans="1:26" x14ac:dyDescent="0.6">
      <c r="S136"/>
      <c r="T136"/>
      <c r="U136"/>
      <c r="V136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A9927-2BBB-E048-BEC1-AD5EBD1143DA}">
  <dimension ref="A1:K13"/>
  <sheetViews>
    <sheetView workbookViewId="0">
      <selection activeCell="B2" sqref="B1:C1048576"/>
    </sheetView>
  </sheetViews>
  <sheetFormatPr defaultColWidth="11" defaultRowHeight="15.6" x14ac:dyDescent="0.6"/>
  <cols>
    <col min="1" max="1" width="13.1484375" bestFit="1" customWidth="1"/>
    <col min="2" max="2" width="18.34765625" bestFit="1" customWidth="1"/>
    <col min="3" max="3" width="11.5" customWidth="1"/>
    <col min="4" max="4" width="15" bestFit="1" customWidth="1"/>
    <col min="5" max="5" width="19.6484375" bestFit="1" customWidth="1"/>
    <col min="6" max="6" width="15" customWidth="1"/>
    <col min="7" max="7" width="19.6484375" bestFit="1" customWidth="1"/>
    <col min="8" max="8" width="14" bestFit="1" customWidth="1"/>
    <col min="9" max="9" width="13" bestFit="1" customWidth="1"/>
    <col min="11" max="11" width="12" bestFit="1" customWidth="1"/>
  </cols>
  <sheetData>
    <row r="1" spans="1:11" x14ac:dyDescent="0.6">
      <c r="A1" s="40" t="s">
        <v>273</v>
      </c>
      <c r="B1" s="3" t="s">
        <v>275</v>
      </c>
      <c r="C1" s="2" t="s">
        <v>276</v>
      </c>
      <c r="D1" s="62" t="s">
        <v>229</v>
      </c>
      <c r="E1" s="62"/>
      <c r="F1" s="63" t="s">
        <v>230</v>
      </c>
      <c r="G1" s="63"/>
      <c r="H1" s="62" t="s">
        <v>3</v>
      </c>
      <c r="I1" s="62"/>
      <c r="J1" s="63" t="s">
        <v>297</v>
      </c>
      <c r="K1" s="63"/>
    </row>
    <row r="2" spans="1:11" x14ac:dyDescent="0.6">
      <c r="A2" s="40" t="s">
        <v>469</v>
      </c>
      <c r="B2" t="s">
        <v>89</v>
      </c>
      <c r="C2" s="18" t="s">
        <v>214</v>
      </c>
      <c r="D2" s="41" t="s">
        <v>471</v>
      </c>
      <c r="E2" s="41" t="s">
        <v>472</v>
      </c>
      <c r="F2" s="40" t="s">
        <v>471</v>
      </c>
      <c r="G2" s="40" t="s">
        <v>472</v>
      </c>
      <c r="H2" s="41" t="s">
        <v>471</v>
      </c>
      <c r="I2" s="41" t="s">
        <v>473</v>
      </c>
      <c r="J2" s="40" t="s">
        <v>474</v>
      </c>
      <c r="K2" s="40" t="s">
        <v>475</v>
      </c>
    </row>
    <row r="3" spans="1:11" x14ac:dyDescent="0.6">
      <c r="A3" t="s">
        <v>49</v>
      </c>
      <c r="B3" t="s">
        <v>109</v>
      </c>
      <c r="C3" s="18" t="s">
        <v>217</v>
      </c>
      <c r="D3" t="s">
        <v>98</v>
      </c>
      <c r="E3" t="s">
        <v>279</v>
      </c>
      <c r="F3" t="s">
        <v>237</v>
      </c>
      <c r="G3" t="s">
        <v>279</v>
      </c>
      <c r="H3" t="s">
        <v>67</v>
      </c>
      <c r="I3" t="s">
        <v>293</v>
      </c>
      <c r="J3">
        <v>0</v>
      </c>
      <c r="K3" t="s">
        <v>298</v>
      </c>
    </row>
    <row r="4" spans="1:11" x14ac:dyDescent="0.6">
      <c r="A4" t="s">
        <v>50</v>
      </c>
      <c r="B4" t="s">
        <v>88</v>
      </c>
      <c r="C4" s="18" t="s">
        <v>215</v>
      </c>
      <c r="D4" t="s">
        <v>288</v>
      </c>
      <c r="E4" t="s">
        <v>289</v>
      </c>
      <c r="F4" t="s">
        <v>288</v>
      </c>
      <c r="G4" t="s">
        <v>289</v>
      </c>
      <c r="H4" t="s">
        <v>120</v>
      </c>
      <c r="I4" t="s">
        <v>295</v>
      </c>
      <c r="J4">
        <v>1</v>
      </c>
      <c r="K4" t="s">
        <v>299</v>
      </c>
    </row>
    <row r="5" spans="1:11" x14ac:dyDescent="0.6">
      <c r="A5" t="s">
        <v>51</v>
      </c>
      <c r="B5" t="s">
        <v>71</v>
      </c>
      <c r="C5" s="18" t="s">
        <v>218</v>
      </c>
      <c r="D5" t="s">
        <v>119</v>
      </c>
      <c r="E5" t="s">
        <v>282</v>
      </c>
      <c r="F5" t="s">
        <v>239</v>
      </c>
      <c r="G5" t="s">
        <v>282</v>
      </c>
      <c r="H5" t="s">
        <v>97</v>
      </c>
      <c r="I5" t="s">
        <v>294</v>
      </c>
      <c r="J5">
        <v>2</v>
      </c>
      <c r="K5" t="s">
        <v>300</v>
      </c>
    </row>
    <row r="6" spans="1:11" x14ac:dyDescent="0.6">
      <c r="A6" t="s">
        <v>52</v>
      </c>
      <c r="B6" t="s">
        <v>268</v>
      </c>
      <c r="C6" s="18" t="s">
        <v>216</v>
      </c>
      <c r="D6" t="s">
        <v>117</v>
      </c>
      <c r="E6" t="s">
        <v>280</v>
      </c>
      <c r="F6" t="s">
        <v>238</v>
      </c>
      <c r="G6" t="s">
        <v>280</v>
      </c>
      <c r="H6" t="s">
        <v>121</v>
      </c>
      <c r="I6" t="s">
        <v>296</v>
      </c>
    </row>
    <row r="7" spans="1:11" x14ac:dyDescent="0.6">
      <c r="A7" t="s">
        <v>53</v>
      </c>
      <c r="B7" t="s">
        <v>77</v>
      </c>
      <c r="C7" s="18" t="s">
        <v>219</v>
      </c>
      <c r="D7" t="s">
        <v>118</v>
      </c>
      <c r="E7" t="s">
        <v>281</v>
      </c>
      <c r="F7" t="s">
        <v>236</v>
      </c>
      <c r="G7" t="s">
        <v>281</v>
      </c>
      <c r="H7" t="s">
        <v>47</v>
      </c>
      <c r="I7" t="s">
        <v>292</v>
      </c>
    </row>
    <row r="8" spans="1:11" x14ac:dyDescent="0.6">
      <c r="A8" t="s">
        <v>250</v>
      </c>
      <c r="B8" t="s">
        <v>125</v>
      </c>
      <c r="C8" s="18" t="s">
        <v>224</v>
      </c>
      <c r="D8" t="s">
        <v>287</v>
      </c>
      <c r="E8" t="s">
        <v>286</v>
      </c>
      <c r="F8" t="s">
        <v>290</v>
      </c>
      <c r="G8" t="s">
        <v>286</v>
      </c>
    </row>
    <row r="9" spans="1:11" x14ac:dyDescent="0.6">
      <c r="A9" t="s">
        <v>260</v>
      </c>
      <c r="B9" t="s">
        <v>54</v>
      </c>
      <c r="C9" s="18" t="s">
        <v>221</v>
      </c>
      <c r="D9" t="s">
        <v>132</v>
      </c>
      <c r="E9" t="s">
        <v>283</v>
      </c>
      <c r="F9" t="s">
        <v>241</v>
      </c>
      <c r="G9" t="s">
        <v>283</v>
      </c>
    </row>
    <row r="10" spans="1:11" x14ac:dyDescent="0.6">
      <c r="B10" t="s">
        <v>55</v>
      </c>
      <c r="C10" s="18" t="s">
        <v>223</v>
      </c>
      <c r="D10" t="s">
        <v>46</v>
      </c>
      <c r="E10" t="s">
        <v>277</v>
      </c>
      <c r="F10" t="s">
        <v>235</v>
      </c>
      <c r="G10" t="s">
        <v>277</v>
      </c>
    </row>
    <row r="11" spans="1:11" x14ac:dyDescent="0.6">
      <c r="B11" t="s">
        <v>108</v>
      </c>
      <c r="C11" s="18" t="s">
        <v>220</v>
      </c>
      <c r="D11" t="s">
        <v>66</v>
      </c>
      <c r="E11" t="s">
        <v>278</v>
      </c>
      <c r="F11" t="s">
        <v>240</v>
      </c>
      <c r="G11" t="s">
        <v>278</v>
      </c>
    </row>
    <row r="12" spans="1:11" x14ac:dyDescent="0.6">
      <c r="C12" s="18" t="s">
        <v>222</v>
      </c>
      <c r="D12" t="s">
        <v>284</v>
      </c>
      <c r="E12" t="s">
        <v>285</v>
      </c>
      <c r="F12" t="s">
        <v>291</v>
      </c>
      <c r="G12" t="s">
        <v>285</v>
      </c>
    </row>
    <row r="13" spans="1:11" x14ac:dyDescent="0.6">
      <c r="C13" s="18" t="s">
        <v>253</v>
      </c>
    </row>
  </sheetData>
  <mergeCells count="4">
    <mergeCell ref="D1:E1"/>
    <mergeCell ref="F1:G1"/>
    <mergeCell ref="H1:I1"/>
    <mergeCell ref="J1:K1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D079-6675-8349-A581-3F0C7AF5075F}">
  <dimension ref="A1:Q40"/>
  <sheetViews>
    <sheetView workbookViewId="0">
      <selection activeCell="A18" activeCellId="12" sqref="A2:A6 A7 A8 A9 A10 A11 A12 A13 A14 A15 A16 A17 A18"/>
    </sheetView>
  </sheetViews>
  <sheetFormatPr defaultColWidth="11" defaultRowHeight="15.6" x14ac:dyDescent="0.6"/>
  <cols>
    <col min="6" max="6" width="16.84765625" bestFit="1" customWidth="1"/>
    <col min="7" max="7" width="34" bestFit="1" customWidth="1"/>
    <col min="9" max="9" width="9.1484375" bestFit="1" customWidth="1"/>
    <col min="10" max="10" width="10.84765625" style="44" bestFit="1" customWidth="1"/>
  </cols>
  <sheetData>
    <row r="1" spans="1:17" x14ac:dyDescent="0.6">
      <c r="A1" t="s">
        <v>36</v>
      </c>
      <c r="B1" t="s">
        <v>37</v>
      </c>
      <c r="C1" t="s">
        <v>38</v>
      </c>
      <c r="D1" t="s">
        <v>477</v>
      </c>
      <c r="E1" t="s">
        <v>105</v>
      </c>
      <c r="F1" t="s">
        <v>476</v>
      </c>
      <c r="G1" t="s">
        <v>470</v>
      </c>
      <c r="I1" s="64" t="s">
        <v>487</v>
      </c>
      <c r="J1" s="64"/>
      <c r="M1" t="s">
        <v>556</v>
      </c>
      <c r="Q1" t="s">
        <v>557</v>
      </c>
    </row>
    <row r="2" spans="1:17" x14ac:dyDescent="0.6">
      <c r="A2">
        <v>81</v>
      </c>
      <c r="B2">
        <v>42</v>
      </c>
      <c r="C2">
        <v>12</v>
      </c>
      <c r="D2" s="5">
        <v>44064</v>
      </c>
      <c r="E2" t="s">
        <v>39</v>
      </c>
      <c r="F2" t="s">
        <v>42</v>
      </c>
      <c r="G2" s="35" t="s">
        <v>479</v>
      </c>
      <c r="I2" t="s">
        <v>48</v>
      </c>
      <c r="J2" s="44" t="s">
        <v>68</v>
      </c>
      <c r="M2">
        <v>161</v>
      </c>
      <c r="N2">
        <v>162</v>
      </c>
      <c r="O2">
        <v>156</v>
      </c>
      <c r="P2">
        <v>157</v>
      </c>
      <c r="Q2">
        <v>163</v>
      </c>
    </row>
    <row r="3" spans="1:17" x14ac:dyDescent="0.6">
      <c r="A3">
        <v>80</v>
      </c>
      <c r="B3">
        <v>43</v>
      </c>
      <c r="C3">
        <v>12</v>
      </c>
      <c r="D3" s="5">
        <v>44064</v>
      </c>
      <c r="E3" t="s">
        <v>40</v>
      </c>
      <c r="F3" t="s">
        <v>107</v>
      </c>
      <c r="G3" s="35" t="s">
        <v>479</v>
      </c>
      <c r="I3">
        <v>81</v>
      </c>
      <c r="J3" s="44">
        <v>44105</v>
      </c>
    </row>
    <row r="4" spans="1:17" x14ac:dyDescent="0.6">
      <c r="A4">
        <v>79</v>
      </c>
      <c r="B4">
        <v>45</v>
      </c>
      <c r="C4">
        <v>10</v>
      </c>
      <c r="D4" s="5">
        <v>44065</v>
      </c>
      <c r="E4" t="s">
        <v>41</v>
      </c>
      <c r="F4" t="s">
        <v>41</v>
      </c>
      <c r="G4" t="s">
        <v>478</v>
      </c>
      <c r="I4">
        <v>80</v>
      </c>
      <c r="J4" s="44">
        <v>44105</v>
      </c>
    </row>
    <row r="5" spans="1:17" x14ac:dyDescent="0.6">
      <c r="A5">
        <v>78</v>
      </c>
      <c r="B5">
        <v>46</v>
      </c>
      <c r="C5">
        <v>10</v>
      </c>
      <c r="D5" s="5">
        <v>44068</v>
      </c>
      <c r="E5" t="s">
        <v>42</v>
      </c>
      <c r="F5" t="s">
        <v>22</v>
      </c>
      <c r="G5" t="s">
        <v>478</v>
      </c>
      <c r="I5">
        <v>79</v>
      </c>
      <c r="J5" s="44">
        <v>44110</v>
      </c>
    </row>
    <row r="6" spans="1:17" x14ac:dyDescent="0.6">
      <c r="A6">
        <v>77</v>
      </c>
      <c r="B6">
        <v>48</v>
      </c>
      <c r="C6">
        <v>10</v>
      </c>
      <c r="D6" s="5">
        <v>44070</v>
      </c>
      <c r="E6" t="s">
        <v>43</v>
      </c>
      <c r="F6" t="s">
        <v>106</v>
      </c>
      <c r="G6" t="s">
        <v>493</v>
      </c>
      <c r="I6">
        <v>78</v>
      </c>
      <c r="J6" s="44">
        <v>44110</v>
      </c>
    </row>
    <row r="7" spans="1:17" x14ac:dyDescent="0.6">
      <c r="A7">
        <v>152</v>
      </c>
      <c r="B7">
        <v>43</v>
      </c>
      <c r="C7">
        <v>12</v>
      </c>
      <c r="D7" s="5">
        <v>44270</v>
      </c>
      <c r="G7" t="s">
        <v>492</v>
      </c>
      <c r="I7">
        <v>77</v>
      </c>
      <c r="J7" s="44">
        <v>44112</v>
      </c>
    </row>
    <row r="8" spans="1:17" x14ac:dyDescent="0.6">
      <c r="A8">
        <v>153</v>
      </c>
      <c r="C8">
        <v>11</v>
      </c>
      <c r="D8" s="5">
        <v>44270</v>
      </c>
      <c r="G8" t="s">
        <v>494</v>
      </c>
      <c r="I8" t="s">
        <v>69</v>
      </c>
      <c r="J8" s="44">
        <v>44119</v>
      </c>
    </row>
    <row r="9" spans="1:17" x14ac:dyDescent="0.6">
      <c r="A9">
        <v>82</v>
      </c>
      <c r="B9">
        <v>49</v>
      </c>
      <c r="C9">
        <v>10</v>
      </c>
      <c r="D9" s="5">
        <v>44448</v>
      </c>
      <c r="G9" t="s">
        <v>495</v>
      </c>
      <c r="I9" t="s">
        <v>86</v>
      </c>
      <c r="J9" s="44">
        <v>44133</v>
      </c>
    </row>
    <row r="10" spans="1:17" x14ac:dyDescent="0.6">
      <c r="A10">
        <v>83</v>
      </c>
      <c r="B10">
        <v>47</v>
      </c>
      <c r="C10">
        <v>10</v>
      </c>
      <c r="D10" s="5">
        <v>44448</v>
      </c>
      <c r="G10" t="s">
        <v>496</v>
      </c>
      <c r="I10" t="s">
        <v>87</v>
      </c>
      <c r="J10" s="44">
        <v>44138</v>
      </c>
    </row>
    <row r="11" spans="1:17" x14ac:dyDescent="0.6">
      <c r="A11">
        <v>154</v>
      </c>
      <c r="B11">
        <v>46</v>
      </c>
      <c r="C11">
        <v>11.5</v>
      </c>
      <c r="D11" s="5">
        <v>44678</v>
      </c>
      <c r="F11" t="s">
        <v>481</v>
      </c>
      <c r="G11" t="s">
        <v>555</v>
      </c>
      <c r="I11" t="s">
        <v>99</v>
      </c>
      <c r="J11" s="44">
        <v>44140</v>
      </c>
    </row>
    <row r="12" spans="1:17" x14ac:dyDescent="0.6">
      <c r="A12">
        <v>155</v>
      </c>
      <c r="B12">
        <v>47</v>
      </c>
      <c r="C12">
        <v>11.5</v>
      </c>
      <c r="D12" s="5">
        <v>44678</v>
      </c>
      <c r="F12" t="s">
        <v>372</v>
      </c>
      <c r="G12" t="s">
        <v>555</v>
      </c>
      <c r="I12" t="s">
        <v>69</v>
      </c>
      <c r="J12" s="44">
        <v>44145</v>
      </c>
    </row>
    <row r="13" spans="1:17" x14ac:dyDescent="0.6">
      <c r="A13">
        <v>156</v>
      </c>
      <c r="B13">
        <v>48</v>
      </c>
      <c r="C13">
        <v>9.8000000000000007</v>
      </c>
      <c r="D13" s="5">
        <v>44678</v>
      </c>
      <c r="F13" t="s">
        <v>483</v>
      </c>
      <c r="I13" t="s">
        <v>99</v>
      </c>
      <c r="J13" s="44">
        <v>44152</v>
      </c>
    </row>
    <row r="14" spans="1:17" x14ac:dyDescent="0.6">
      <c r="A14">
        <v>157</v>
      </c>
      <c r="B14">
        <v>49</v>
      </c>
      <c r="C14">
        <v>9.3000000000000007</v>
      </c>
      <c r="D14" s="5">
        <v>44691</v>
      </c>
      <c r="F14" t="s">
        <v>484</v>
      </c>
      <c r="I14" t="s">
        <v>124</v>
      </c>
      <c r="J14" s="44">
        <v>44159</v>
      </c>
    </row>
    <row r="15" spans="1:17" x14ac:dyDescent="0.6">
      <c r="A15">
        <v>158</v>
      </c>
      <c r="B15">
        <v>50</v>
      </c>
      <c r="C15">
        <v>13</v>
      </c>
      <c r="D15" s="5">
        <v>44691</v>
      </c>
      <c r="F15" t="s">
        <v>482</v>
      </c>
      <c r="G15" t="s">
        <v>555</v>
      </c>
      <c r="I15" t="s">
        <v>131</v>
      </c>
      <c r="J15" s="44">
        <v>44166</v>
      </c>
    </row>
    <row r="16" spans="1:17" x14ac:dyDescent="0.6">
      <c r="A16" t="s">
        <v>485</v>
      </c>
      <c r="D16" s="5">
        <v>44678</v>
      </c>
      <c r="E16" t="s">
        <v>182</v>
      </c>
      <c r="F16" t="s">
        <v>182</v>
      </c>
      <c r="G16" t="s">
        <v>486</v>
      </c>
      <c r="I16" t="s">
        <v>148</v>
      </c>
      <c r="J16" s="44">
        <v>44188</v>
      </c>
    </row>
    <row r="17" spans="1:10" x14ac:dyDescent="0.6">
      <c r="A17">
        <v>161</v>
      </c>
      <c r="B17">
        <v>45</v>
      </c>
      <c r="C17">
        <v>11.5</v>
      </c>
      <c r="D17" s="5">
        <v>44790</v>
      </c>
      <c r="I17" t="s">
        <v>99</v>
      </c>
      <c r="J17" s="44">
        <v>44194</v>
      </c>
    </row>
    <row r="18" spans="1:10" x14ac:dyDescent="0.6">
      <c r="A18">
        <v>162</v>
      </c>
      <c r="B18">
        <v>47</v>
      </c>
      <c r="C18">
        <v>11.5</v>
      </c>
      <c r="D18" s="5">
        <v>44790</v>
      </c>
      <c r="I18" t="s">
        <v>157</v>
      </c>
      <c r="J18" s="44">
        <v>44201</v>
      </c>
    </row>
    <row r="19" spans="1:10" x14ac:dyDescent="0.6">
      <c r="A19">
        <v>162</v>
      </c>
      <c r="B19">
        <v>51</v>
      </c>
      <c r="C19">
        <v>13</v>
      </c>
      <c r="D19" s="5">
        <v>44790</v>
      </c>
      <c r="I19" t="s">
        <v>131</v>
      </c>
      <c r="J19" s="44">
        <v>44208</v>
      </c>
    </row>
    <row r="20" spans="1:10" x14ac:dyDescent="0.6">
      <c r="I20" s="1" t="s">
        <v>164</v>
      </c>
      <c r="J20" s="44">
        <v>44210</v>
      </c>
    </row>
    <row r="21" spans="1:10" x14ac:dyDescent="0.6">
      <c r="I21" t="s">
        <v>124</v>
      </c>
      <c r="J21" s="44">
        <v>44227</v>
      </c>
    </row>
    <row r="22" spans="1:10" x14ac:dyDescent="0.6">
      <c r="I22" t="s">
        <v>124</v>
      </c>
      <c r="J22" s="44">
        <v>44207</v>
      </c>
    </row>
    <row r="23" spans="1:10" x14ac:dyDescent="0.6">
      <c r="I23" t="s">
        <v>131</v>
      </c>
      <c r="J23" s="44">
        <v>44296</v>
      </c>
    </row>
    <row r="24" spans="1:10" x14ac:dyDescent="0.6">
      <c r="I24" t="s">
        <v>157</v>
      </c>
      <c r="J24" s="44">
        <v>44308</v>
      </c>
    </row>
    <row r="25" spans="1:10" x14ac:dyDescent="0.6">
      <c r="A25" t="s">
        <v>480</v>
      </c>
      <c r="I25" t="s">
        <v>371</v>
      </c>
      <c r="J25" s="44">
        <v>44434</v>
      </c>
    </row>
    <row r="26" spans="1:10" x14ac:dyDescent="0.6">
      <c r="A26" t="s">
        <v>497</v>
      </c>
    </row>
    <row r="32" spans="1:10" x14ac:dyDescent="0.6">
      <c r="A32" s="3" t="s">
        <v>526</v>
      </c>
      <c r="B32" s="3"/>
      <c r="C32" s="3"/>
      <c r="D32" s="3"/>
      <c r="E32" s="3"/>
    </row>
    <row r="33" spans="1:5" x14ac:dyDescent="0.6">
      <c r="A33" s="3" t="s">
        <v>525</v>
      </c>
      <c r="B33" s="3"/>
      <c r="C33" s="3"/>
      <c r="D33" s="3"/>
      <c r="E33" s="3"/>
    </row>
    <row r="34" spans="1:5" x14ac:dyDescent="0.6">
      <c r="A34" s="13" t="s">
        <v>527</v>
      </c>
      <c r="B34" s="3"/>
      <c r="C34" s="3"/>
      <c r="D34" s="3"/>
      <c r="E34" s="3"/>
    </row>
    <row r="35" spans="1:5" x14ac:dyDescent="0.6">
      <c r="A35" s="3" t="s">
        <v>528</v>
      </c>
      <c r="B35" s="3"/>
      <c r="C35" s="3"/>
      <c r="D35" s="3"/>
      <c r="E35" s="3"/>
    </row>
    <row r="40" spans="1:5" x14ac:dyDescent="0.6">
      <c r="A40" s="5">
        <v>44152</v>
      </c>
      <c r="B40" t="s">
        <v>123</v>
      </c>
    </row>
  </sheetData>
  <mergeCells count="1">
    <mergeCell ref="I1:J1"/>
  </mergeCells>
  <phoneticPr fontId="5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9543A-B8E4-6F49-985A-2BF1FE39FAFE}">
  <dimension ref="A1:Z40"/>
  <sheetViews>
    <sheetView zoomScale="110" zoomScaleNormal="110" workbookViewId="0">
      <selection activeCell="S30" sqref="S30"/>
    </sheetView>
  </sheetViews>
  <sheetFormatPr defaultColWidth="11" defaultRowHeight="15.6" x14ac:dyDescent="0.6"/>
  <cols>
    <col min="1" max="1" width="6.1484375" bestFit="1" customWidth="1"/>
    <col min="2" max="2" width="5.5" bestFit="1" customWidth="1"/>
    <col min="3" max="4" width="6" bestFit="1" customWidth="1"/>
    <col min="5" max="5" width="6.1484375" bestFit="1" customWidth="1"/>
    <col min="6" max="7" width="5.5" bestFit="1" customWidth="1"/>
    <col min="8" max="9" width="5.6484375" bestFit="1" customWidth="1"/>
    <col min="10" max="10" width="5" bestFit="1" customWidth="1"/>
    <col min="11" max="11" width="16.5" bestFit="1" customWidth="1"/>
    <col min="12" max="12" width="2.1484375" bestFit="1" customWidth="1"/>
    <col min="13" max="13" width="16.34765625" bestFit="1" customWidth="1"/>
    <col min="14" max="14" width="2.1484375" bestFit="1" customWidth="1"/>
    <col min="15" max="15" width="17.34765625" bestFit="1" customWidth="1"/>
    <col min="16" max="16" width="2.1484375" bestFit="1" customWidth="1"/>
    <col min="17" max="17" width="17.34765625" bestFit="1" customWidth="1"/>
    <col min="18" max="18" width="2.1484375" bestFit="1" customWidth="1"/>
    <col min="19" max="19" width="20.1484375" bestFit="1" customWidth="1"/>
    <col min="20" max="20" width="2.1484375" bestFit="1" customWidth="1"/>
    <col min="21" max="21" width="15.1484375" bestFit="1" customWidth="1"/>
    <col min="22" max="22" width="2.1484375" bestFit="1" customWidth="1"/>
    <col min="23" max="23" width="17.34765625" bestFit="1" customWidth="1"/>
    <col min="24" max="24" width="2.1484375" bestFit="1" customWidth="1"/>
    <col min="25" max="25" width="17.34765625" bestFit="1" customWidth="1"/>
    <col min="26" max="26" width="2.1484375" bestFit="1" customWidth="1"/>
  </cols>
  <sheetData>
    <row r="1" spans="1:26" x14ac:dyDescent="0.6">
      <c r="B1" t="s">
        <v>351</v>
      </c>
      <c r="C1" t="s">
        <v>117</v>
      </c>
      <c r="D1" t="s">
        <v>119</v>
      </c>
      <c r="E1" t="s">
        <v>118</v>
      </c>
      <c r="F1" t="s">
        <v>46</v>
      </c>
      <c r="G1" t="s">
        <v>98</v>
      </c>
      <c r="H1" t="s">
        <v>284</v>
      </c>
      <c r="I1" t="s">
        <v>287</v>
      </c>
      <c r="J1" t="s">
        <v>288</v>
      </c>
      <c r="K1" s="65" t="s">
        <v>214</v>
      </c>
      <c r="L1" s="66"/>
      <c r="M1" s="65" t="s">
        <v>217</v>
      </c>
      <c r="N1" s="66"/>
      <c r="O1" s="65" t="s">
        <v>215</v>
      </c>
      <c r="P1" s="66"/>
      <c r="Q1" s="65" t="s">
        <v>218</v>
      </c>
      <c r="R1" s="66"/>
      <c r="S1" s="65" t="s">
        <v>216</v>
      </c>
      <c r="T1" s="66"/>
      <c r="U1" s="65" t="s">
        <v>390</v>
      </c>
      <c r="V1" s="66"/>
      <c r="W1" s="65" t="s">
        <v>401</v>
      </c>
      <c r="X1" s="66"/>
      <c r="Y1" s="65" t="s">
        <v>386</v>
      </c>
      <c r="Z1" s="66"/>
    </row>
    <row r="2" spans="1:26" x14ac:dyDescent="0.6">
      <c r="A2" t="s">
        <v>351</v>
      </c>
      <c r="B2" s="31" t="s">
        <v>409</v>
      </c>
      <c r="C2" s="42">
        <f>SUM(T2:T8)</f>
        <v>10</v>
      </c>
      <c r="D2" s="42">
        <f>SUM(R2:R8)</f>
        <v>10</v>
      </c>
      <c r="E2" s="42">
        <f>SUM(N2:N8)</f>
        <v>16</v>
      </c>
      <c r="F2" s="42">
        <f>SUM(L2:L8)</f>
        <v>12</v>
      </c>
      <c r="G2" s="28">
        <f>SUM(P2:P8)</f>
        <v>5</v>
      </c>
      <c r="H2" s="43">
        <f>SUM(V2:V8)</f>
        <v>8</v>
      </c>
      <c r="I2" s="28">
        <f>SUM(X2:X8)</f>
        <v>7</v>
      </c>
      <c r="J2" s="42">
        <f>SUM(Z2:Z8)</f>
        <v>7</v>
      </c>
      <c r="K2" s="52" t="s">
        <v>410</v>
      </c>
      <c r="L2" s="34">
        <v>4</v>
      </c>
      <c r="M2" s="52" t="s">
        <v>413</v>
      </c>
      <c r="N2" s="34">
        <v>1</v>
      </c>
      <c r="O2" s="33" t="s">
        <v>419</v>
      </c>
      <c r="P2" s="34">
        <v>2</v>
      </c>
      <c r="Q2" s="33" t="s">
        <v>413</v>
      </c>
      <c r="R2" s="34">
        <v>2</v>
      </c>
      <c r="S2" s="33" t="s">
        <v>425</v>
      </c>
      <c r="T2" s="34">
        <v>2</v>
      </c>
      <c r="U2" s="33" t="s">
        <v>429</v>
      </c>
      <c r="V2" s="34">
        <v>1</v>
      </c>
      <c r="W2" s="33" t="s">
        <v>430</v>
      </c>
      <c r="X2" s="34">
        <v>3</v>
      </c>
      <c r="Y2" s="33" t="s">
        <v>429</v>
      </c>
      <c r="Z2" s="34">
        <v>4</v>
      </c>
    </row>
    <row r="3" spans="1:26" x14ac:dyDescent="0.6">
      <c r="A3" t="s">
        <v>117</v>
      </c>
      <c r="C3" s="31" t="s">
        <v>409</v>
      </c>
      <c r="D3" s="42">
        <f>SUM(L10:L19)</f>
        <v>10</v>
      </c>
      <c r="E3" s="42">
        <f>SUM(N10:N19)</f>
        <v>7</v>
      </c>
      <c r="F3" s="42">
        <f>SUM(P10:P19)</f>
        <v>13</v>
      </c>
      <c r="G3" s="28">
        <f>SUM(T10:T19)</f>
        <v>5</v>
      </c>
      <c r="H3" s="43">
        <f>SUM(X10:X19)</f>
        <v>6</v>
      </c>
      <c r="I3" s="28">
        <f>SUM(V10:V19)</f>
        <v>6</v>
      </c>
      <c r="J3" s="28">
        <f>SUM(R10:R19)</f>
        <v>7</v>
      </c>
      <c r="K3" s="52" t="s">
        <v>411</v>
      </c>
      <c r="L3" s="34">
        <v>5</v>
      </c>
      <c r="M3" s="33" t="s">
        <v>414</v>
      </c>
      <c r="N3" s="34">
        <v>5</v>
      </c>
      <c r="O3" s="33" t="s">
        <v>420</v>
      </c>
      <c r="P3" s="34">
        <v>2</v>
      </c>
      <c r="Q3" s="33" t="s">
        <v>420</v>
      </c>
      <c r="R3" s="34">
        <v>2</v>
      </c>
      <c r="S3" s="33" t="s">
        <v>420</v>
      </c>
      <c r="T3" s="34">
        <v>1</v>
      </c>
      <c r="U3" s="38" t="s">
        <v>454</v>
      </c>
      <c r="V3" s="39">
        <v>2</v>
      </c>
      <c r="W3" s="33" t="s">
        <v>446</v>
      </c>
      <c r="X3" s="34">
        <v>1</v>
      </c>
      <c r="Y3" s="33" t="s">
        <v>430</v>
      </c>
      <c r="Z3" s="34">
        <v>1</v>
      </c>
    </row>
    <row r="4" spans="1:26" x14ac:dyDescent="0.6">
      <c r="A4" t="s">
        <v>119</v>
      </c>
      <c r="D4" s="31" t="s">
        <v>409</v>
      </c>
      <c r="E4" s="28">
        <f>SUM(L21:L25)</f>
        <v>5</v>
      </c>
      <c r="F4" s="28">
        <f>SUM(N21:N25)</f>
        <v>6</v>
      </c>
      <c r="G4" s="28">
        <f>SUM(P21:P25)</f>
        <v>5</v>
      </c>
      <c r="K4" s="52" t="s">
        <v>412</v>
      </c>
      <c r="L4" s="34">
        <v>3</v>
      </c>
      <c r="M4" s="33" t="s">
        <v>415</v>
      </c>
      <c r="N4" s="34">
        <v>1</v>
      </c>
      <c r="O4" s="33" t="s">
        <v>421</v>
      </c>
      <c r="P4" s="34">
        <v>1</v>
      </c>
      <c r="Q4" s="33" t="s">
        <v>422</v>
      </c>
      <c r="R4" s="34">
        <v>1</v>
      </c>
      <c r="S4" s="33" t="s">
        <v>422</v>
      </c>
      <c r="T4" s="34">
        <v>1</v>
      </c>
      <c r="U4" s="33" t="s">
        <v>524</v>
      </c>
      <c r="V4" s="34">
        <v>1</v>
      </c>
      <c r="W4" s="33" t="s">
        <v>454</v>
      </c>
      <c r="X4" s="34">
        <v>1</v>
      </c>
      <c r="Y4" s="33" t="s">
        <v>446</v>
      </c>
      <c r="Z4" s="34">
        <v>1</v>
      </c>
    </row>
    <row r="5" spans="1:26" x14ac:dyDescent="0.6">
      <c r="A5" t="s">
        <v>118</v>
      </c>
      <c r="E5" s="31" t="s">
        <v>409</v>
      </c>
      <c r="F5" s="28">
        <f>SUM(L27:L31)</f>
        <v>5</v>
      </c>
      <c r="G5" s="28">
        <f>SUM(N27:N31)</f>
        <v>6</v>
      </c>
      <c r="K5" s="33"/>
      <c r="L5" s="34"/>
      <c r="M5" s="33" t="s">
        <v>417</v>
      </c>
      <c r="N5" s="34">
        <v>3</v>
      </c>
      <c r="O5" s="33"/>
      <c r="P5" s="34"/>
      <c r="Q5" s="33" t="s">
        <v>415</v>
      </c>
      <c r="R5" s="34">
        <v>2</v>
      </c>
      <c r="S5" s="33" t="s">
        <v>426</v>
      </c>
      <c r="T5" s="34">
        <v>1</v>
      </c>
      <c r="U5" s="33" t="s">
        <v>538</v>
      </c>
      <c r="V5" s="34">
        <v>1</v>
      </c>
      <c r="W5" t="s">
        <v>657</v>
      </c>
      <c r="X5" s="34">
        <v>1</v>
      </c>
      <c r="Y5" s="53" t="s">
        <v>649</v>
      </c>
      <c r="Z5" s="34">
        <v>1</v>
      </c>
    </row>
    <row r="6" spans="1:26" x14ac:dyDescent="0.6">
      <c r="A6" t="s">
        <v>46</v>
      </c>
      <c r="F6" s="31" t="s">
        <v>409</v>
      </c>
      <c r="G6" s="54">
        <f>SUM(L33:L37)</f>
        <v>5</v>
      </c>
      <c r="K6" s="33"/>
      <c r="L6" s="34"/>
      <c r="M6" s="33" t="s">
        <v>418</v>
      </c>
      <c r="N6" s="34">
        <v>3</v>
      </c>
      <c r="O6" s="33"/>
      <c r="P6" s="34"/>
      <c r="Q6" s="33" t="s">
        <v>423</v>
      </c>
      <c r="R6" s="34">
        <v>1</v>
      </c>
      <c r="S6" s="33" t="s">
        <v>427</v>
      </c>
      <c r="T6" s="34">
        <v>2</v>
      </c>
      <c r="U6" s="53" t="s">
        <v>649</v>
      </c>
      <c r="V6" s="34">
        <v>1</v>
      </c>
      <c r="W6" s="33" t="s">
        <v>664</v>
      </c>
      <c r="X6" s="34">
        <v>1</v>
      </c>
      <c r="Y6" s="33"/>
      <c r="Z6" s="34"/>
    </row>
    <row r="7" spans="1:26" x14ac:dyDescent="0.6">
      <c r="A7" t="s">
        <v>98</v>
      </c>
      <c r="G7" s="31" t="s">
        <v>409</v>
      </c>
      <c r="K7" s="33"/>
      <c r="L7" s="34"/>
      <c r="M7" s="33" t="s">
        <v>416</v>
      </c>
      <c r="N7" s="34">
        <v>3</v>
      </c>
      <c r="O7" s="33"/>
      <c r="P7" s="34"/>
      <c r="Q7" s="33" t="s">
        <v>424</v>
      </c>
      <c r="R7" s="34">
        <v>2</v>
      </c>
      <c r="S7" s="33" t="s">
        <v>428</v>
      </c>
      <c r="T7" s="34">
        <v>2</v>
      </c>
      <c r="U7" t="s">
        <v>657</v>
      </c>
      <c r="V7" s="34">
        <v>1</v>
      </c>
      <c r="W7" s="33"/>
      <c r="X7" s="34"/>
      <c r="Y7" s="33"/>
      <c r="Z7" s="34"/>
    </row>
    <row r="8" spans="1:26" ht="15.9" thickBot="1" x14ac:dyDescent="0.65">
      <c r="A8" t="s">
        <v>284</v>
      </c>
      <c r="H8" s="31" t="s">
        <v>409</v>
      </c>
      <c r="K8" s="33"/>
      <c r="L8" s="34"/>
      <c r="M8" s="33"/>
      <c r="N8" s="34"/>
      <c r="O8" s="33"/>
      <c r="P8" s="34"/>
      <c r="Q8" s="47"/>
      <c r="R8" s="48"/>
      <c r="S8" s="47" t="s">
        <v>424</v>
      </c>
      <c r="T8" s="48">
        <v>1</v>
      </c>
      <c r="U8" s="33" t="s">
        <v>664</v>
      </c>
      <c r="V8" s="34">
        <v>1</v>
      </c>
      <c r="W8" s="47"/>
      <c r="X8" s="48"/>
      <c r="Y8" s="47"/>
      <c r="Z8" s="48"/>
    </row>
    <row r="9" spans="1:26" x14ac:dyDescent="0.6">
      <c r="A9" t="s">
        <v>287</v>
      </c>
      <c r="I9" s="31" t="s">
        <v>409</v>
      </c>
      <c r="K9" s="65" t="s">
        <v>253</v>
      </c>
      <c r="L9" s="66"/>
      <c r="M9" s="65" t="s">
        <v>222</v>
      </c>
      <c r="N9" s="66"/>
      <c r="O9" s="65" t="s">
        <v>223</v>
      </c>
      <c r="P9" s="66"/>
      <c r="Q9" s="65" t="s">
        <v>447</v>
      </c>
      <c r="R9" s="66"/>
      <c r="S9" s="65" t="s">
        <v>509</v>
      </c>
      <c r="T9" s="66"/>
      <c r="U9" s="65" t="s">
        <v>536</v>
      </c>
      <c r="V9" s="66"/>
      <c r="W9" s="65" t="s">
        <v>577</v>
      </c>
      <c r="X9" s="66"/>
    </row>
    <row r="10" spans="1:26" x14ac:dyDescent="0.6">
      <c r="A10" t="s">
        <v>288</v>
      </c>
      <c r="J10" s="31" t="s">
        <v>409</v>
      </c>
      <c r="K10" s="33" t="s">
        <v>431</v>
      </c>
      <c r="L10" s="34">
        <v>4</v>
      </c>
      <c r="M10" s="49" t="s">
        <v>432</v>
      </c>
      <c r="N10" s="34">
        <v>1</v>
      </c>
      <c r="O10" s="33" t="s">
        <v>434</v>
      </c>
      <c r="P10" s="34">
        <v>1</v>
      </c>
      <c r="Q10" s="33" t="s">
        <v>446</v>
      </c>
      <c r="R10" s="34">
        <v>2</v>
      </c>
      <c r="S10" s="38" t="s">
        <v>533</v>
      </c>
      <c r="T10" s="39">
        <v>1</v>
      </c>
      <c r="U10" s="33" t="s">
        <v>538</v>
      </c>
      <c r="V10" s="34">
        <v>3</v>
      </c>
      <c r="W10" s="33" t="s">
        <v>591</v>
      </c>
      <c r="X10" s="34">
        <v>3</v>
      </c>
    </row>
    <row r="11" spans="1:26" x14ac:dyDescent="0.6">
      <c r="J11" s="32">
        <f>SUM(C2:J2)+SUM(D3:J3)+SUM(E4:J4)+SUM(F5:J5)+SUM(G6:J6)+SUM(H7:J7)+SUM(I8:J8)+J9</f>
        <v>161</v>
      </c>
      <c r="K11" s="33" t="s">
        <v>427</v>
      </c>
      <c r="L11" s="34">
        <v>2</v>
      </c>
      <c r="M11" s="33" t="s">
        <v>426</v>
      </c>
      <c r="N11" s="34">
        <v>1</v>
      </c>
      <c r="O11" s="33" t="s">
        <v>422</v>
      </c>
      <c r="P11" s="34">
        <v>2</v>
      </c>
      <c r="Q11" s="33" t="s">
        <v>454</v>
      </c>
      <c r="R11" s="34">
        <v>2</v>
      </c>
      <c r="S11" s="33" t="s">
        <v>608</v>
      </c>
      <c r="T11" s="34">
        <v>1</v>
      </c>
      <c r="U11" s="33" t="s">
        <v>568</v>
      </c>
      <c r="V11" s="34">
        <v>1</v>
      </c>
      <c r="W11" s="33" t="s">
        <v>608</v>
      </c>
      <c r="X11" s="34">
        <v>2</v>
      </c>
    </row>
    <row r="12" spans="1:26" x14ac:dyDescent="0.6">
      <c r="K12" s="33" t="s">
        <v>423</v>
      </c>
      <c r="L12" s="34">
        <v>1</v>
      </c>
      <c r="M12" s="33" t="s">
        <v>433</v>
      </c>
      <c r="N12" s="34">
        <v>1</v>
      </c>
      <c r="O12" s="33" t="s">
        <v>426</v>
      </c>
      <c r="P12" s="34">
        <v>1</v>
      </c>
      <c r="Q12" s="33" t="s">
        <v>524</v>
      </c>
      <c r="R12" s="34">
        <v>1</v>
      </c>
      <c r="S12" s="33" t="s">
        <v>624</v>
      </c>
      <c r="T12" s="34">
        <v>2</v>
      </c>
      <c r="U12" s="33" t="s">
        <v>624</v>
      </c>
      <c r="V12" s="34">
        <v>1</v>
      </c>
      <c r="W12" s="53" t="s">
        <v>649</v>
      </c>
      <c r="X12" s="34">
        <v>1</v>
      </c>
    </row>
    <row r="13" spans="1:26" x14ac:dyDescent="0.6">
      <c r="K13" s="33" t="s">
        <v>421</v>
      </c>
      <c r="L13" s="34">
        <v>2</v>
      </c>
      <c r="M13" s="33" t="s">
        <v>424</v>
      </c>
      <c r="N13" s="34">
        <v>1</v>
      </c>
      <c r="O13" s="33" t="s">
        <v>431</v>
      </c>
      <c r="P13" s="34">
        <v>1</v>
      </c>
      <c r="Q13" t="s">
        <v>657</v>
      </c>
      <c r="R13" s="34">
        <v>1</v>
      </c>
      <c r="S13" s="33" t="s">
        <v>635</v>
      </c>
      <c r="T13" s="34">
        <v>1</v>
      </c>
      <c r="U13" t="s">
        <v>657</v>
      </c>
      <c r="V13" s="34">
        <v>1</v>
      </c>
      <c r="W13" s="33"/>
      <c r="X13" s="34"/>
    </row>
    <row r="14" spans="1:26" x14ac:dyDescent="0.6">
      <c r="K14" s="53" t="s">
        <v>649</v>
      </c>
      <c r="L14" s="34">
        <v>1</v>
      </c>
      <c r="M14" s="33" t="s">
        <v>421</v>
      </c>
      <c r="N14" s="34">
        <v>2</v>
      </c>
      <c r="O14" s="33" t="s">
        <v>433</v>
      </c>
      <c r="P14" s="34">
        <v>1</v>
      </c>
      <c r="Q14" s="33" t="s">
        <v>664</v>
      </c>
      <c r="R14" s="34">
        <v>1</v>
      </c>
      <c r="S14" s="33"/>
      <c r="T14" s="34"/>
      <c r="U14" s="33"/>
      <c r="V14" s="34"/>
      <c r="W14" s="33"/>
      <c r="X14" s="34"/>
    </row>
    <row r="15" spans="1:26" x14ac:dyDescent="0.6">
      <c r="K15" s="33"/>
      <c r="L15" s="34"/>
      <c r="M15" s="33" t="s">
        <v>664</v>
      </c>
      <c r="N15" s="34">
        <v>1</v>
      </c>
      <c r="O15" s="33" t="s">
        <v>423</v>
      </c>
      <c r="P15" s="34">
        <v>1</v>
      </c>
      <c r="Q15" s="33"/>
      <c r="R15" s="34"/>
      <c r="S15" s="33"/>
      <c r="T15" s="34"/>
      <c r="U15" s="33"/>
      <c r="V15" s="34"/>
      <c r="W15" s="33"/>
      <c r="X15" s="34"/>
    </row>
    <row r="16" spans="1:26" x14ac:dyDescent="0.6">
      <c r="K16" s="33"/>
      <c r="L16" s="34"/>
      <c r="M16" s="33"/>
      <c r="N16" s="34"/>
      <c r="O16" s="33" t="s">
        <v>435</v>
      </c>
      <c r="P16" s="34">
        <v>1</v>
      </c>
      <c r="Q16" s="33"/>
      <c r="R16" s="34"/>
      <c r="S16" s="33"/>
      <c r="T16" s="34"/>
      <c r="U16" s="33"/>
      <c r="V16" s="34"/>
      <c r="W16" s="33"/>
      <c r="X16" s="34"/>
    </row>
    <row r="17" spans="11:24" x14ac:dyDescent="0.6">
      <c r="K17" s="33"/>
      <c r="L17" s="34"/>
      <c r="M17" s="33"/>
      <c r="N17" s="34"/>
      <c r="O17" s="33" t="s">
        <v>417</v>
      </c>
      <c r="P17" s="34">
        <v>1</v>
      </c>
      <c r="Q17" s="33"/>
      <c r="R17" s="34"/>
      <c r="S17" s="33"/>
      <c r="T17" s="34"/>
      <c r="U17" s="33"/>
      <c r="V17" s="34"/>
      <c r="W17" s="33"/>
      <c r="X17" s="34"/>
    </row>
    <row r="18" spans="11:24" x14ac:dyDescent="0.6">
      <c r="K18" s="33"/>
      <c r="L18" s="34"/>
      <c r="M18" s="33"/>
      <c r="N18" s="34"/>
      <c r="O18" s="33" t="s">
        <v>418</v>
      </c>
      <c r="P18" s="34">
        <v>2</v>
      </c>
      <c r="Q18" s="33"/>
      <c r="R18" s="34"/>
      <c r="S18" s="33"/>
      <c r="T18" s="34"/>
      <c r="U18" s="33"/>
      <c r="V18" s="34"/>
      <c r="W18" s="33"/>
      <c r="X18" s="34"/>
    </row>
    <row r="19" spans="11:24" ht="15.9" thickBot="1" x14ac:dyDescent="0.65">
      <c r="K19" s="47"/>
      <c r="L19" s="48"/>
      <c r="M19" s="47"/>
      <c r="N19" s="48"/>
      <c r="O19" s="47" t="s">
        <v>416</v>
      </c>
      <c r="P19" s="48">
        <v>2</v>
      </c>
      <c r="Q19" s="47"/>
      <c r="R19" s="48"/>
      <c r="S19" s="47"/>
      <c r="T19" s="48"/>
      <c r="U19" s="47"/>
      <c r="V19" s="48"/>
      <c r="W19" s="47"/>
      <c r="X19" s="48"/>
    </row>
    <row r="20" spans="11:24" x14ac:dyDescent="0.6">
      <c r="K20" s="65" t="s">
        <v>220</v>
      </c>
      <c r="L20" s="66"/>
      <c r="M20" s="65" t="s">
        <v>221</v>
      </c>
      <c r="N20" s="66"/>
      <c r="O20" s="65" t="s">
        <v>405</v>
      </c>
      <c r="P20" s="66"/>
    </row>
    <row r="21" spans="11:24" x14ac:dyDescent="0.6">
      <c r="K21" s="33" t="s">
        <v>436</v>
      </c>
      <c r="L21" s="34">
        <v>1</v>
      </c>
      <c r="M21" t="s">
        <v>432</v>
      </c>
      <c r="N21" s="34">
        <v>2</v>
      </c>
      <c r="O21" s="33" t="s">
        <v>430</v>
      </c>
      <c r="P21" s="34">
        <v>1</v>
      </c>
    </row>
    <row r="22" spans="11:24" x14ac:dyDescent="0.6">
      <c r="K22" s="33" t="s">
        <v>426</v>
      </c>
      <c r="L22" s="34">
        <v>1</v>
      </c>
      <c r="M22" t="s">
        <v>433</v>
      </c>
      <c r="N22" s="34">
        <v>1</v>
      </c>
      <c r="O22" s="38" t="s">
        <v>524</v>
      </c>
      <c r="P22" s="39">
        <v>1</v>
      </c>
    </row>
    <row r="23" spans="11:24" x14ac:dyDescent="0.6">
      <c r="K23" s="33" t="s">
        <v>433</v>
      </c>
      <c r="L23" s="34">
        <v>2</v>
      </c>
      <c r="M23" s="38" t="s">
        <v>533</v>
      </c>
      <c r="N23" s="34">
        <v>2</v>
      </c>
      <c r="O23" s="33" t="s">
        <v>538</v>
      </c>
      <c r="P23" s="34">
        <v>1</v>
      </c>
    </row>
    <row r="24" spans="11:24" x14ac:dyDescent="0.6">
      <c r="K24" s="33" t="s">
        <v>446</v>
      </c>
      <c r="L24" s="34">
        <v>1</v>
      </c>
      <c r="M24" t="s">
        <v>657</v>
      </c>
      <c r="N24" s="34">
        <v>1</v>
      </c>
      <c r="O24" s="33" t="s">
        <v>568</v>
      </c>
      <c r="P24" s="34">
        <v>1</v>
      </c>
    </row>
    <row r="25" spans="11:24" ht="15.9" thickBot="1" x14ac:dyDescent="0.65">
      <c r="K25" s="47"/>
      <c r="L25" s="48"/>
      <c r="M25" s="50"/>
      <c r="N25" s="48"/>
      <c r="O25" s="47" t="s">
        <v>591</v>
      </c>
      <c r="P25" s="48">
        <v>1</v>
      </c>
    </row>
    <row r="26" spans="11:24" x14ac:dyDescent="0.6">
      <c r="K26" s="65" t="s">
        <v>511</v>
      </c>
      <c r="L26" s="66"/>
      <c r="M26" s="65" t="s">
        <v>576</v>
      </c>
      <c r="N26" s="66"/>
    </row>
    <row r="27" spans="11:24" x14ac:dyDescent="0.6">
      <c r="K27" s="38" t="s">
        <v>524</v>
      </c>
      <c r="L27" s="39">
        <v>1</v>
      </c>
      <c r="M27" s="33" t="s">
        <v>591</v>
      </c>
      <c r="N27" s="34">
        <v>1</v>
      </c>
    </row>
    <row r="28" spans="11:24" x14ac:dyDescent="0.6">
      <c r="K28" s="38" t="s">
        <v>533</v>
      </c>
      <c r="L28" s="34">
        <v>2</v>
      </c>
      <c r="M28" s="33" t="s">
        <v>608</v>
      </c>
      <c r="N28" s="34">
        <v>2</v>
      </c>
    </row>
    <row r="29" spans="11:24" x14ac:dyDescent="0.6">
      <c r="K29" s="33" t="s">
        <v>568</v>
      </c>
      <c r="L29" s="34">
        <v>2</v>
      </c>
      <c r="M29" s="33" t="s">
        <v>624</v>
      </c>
      <c r="N29" s="34">
        <v>1</v>
      </c>
    </row>
    <row r="30" spans="11:24" x14ac:dyDescent="0.6">
      <c r="K30" s="33"/>
      <c r="L30" s="34"/>
      <c r="M30" s="33" t="s">
        <v>635</v>
      </c>
      <c r="N30" s="34">
        <v>1</v>
      </c>
    </row>
    <row r="31" spans="11:24" ht="15.9" thickBot="1" x14ac:dyDescent="0.65">
      <c r="K31" s="47"/>
      <c r="L31" s="48"/>
      <c r="M31" s="47" t="s">
        <v>664</v>
      </c>
      <c r="N31" s="48">
        <v>1</v>
      </c>
    </row>
    <row r="32" spans="11:24" x14ac:dyDescent="0.6">
      <c r="K32" s="65" t="s">
        <v>616</v>
      </c>
      <c r="L32" s="66"/>
    </row>
    <row r="33" spans="11:21" x14ac:dyDescent="0.6">
      <c r="K33" s="33" t="s">
        <v>624</v>
      </c>
      <c r="L33" s="34">
        <v>1</v>
      </c>
    </row>
    <row r="34" spans="11:21" x14ac:dyDescent="0.6">
      <c r="K34" s="33" t="s">
        <v>635</v>
      </c>
      <c r="L34" s="34">
        <v>3</v>
      </c>
    </row>
    <row r="35" spans="11:21" x14ac:dyDescent="0.6">
      <c r="K35" s="53" t="s">
        <v>649</v>
      </c>
      <c r="L35" s="34">
        <v>1</v>
      </c>
    </row>
    <row r="36" spans="11:21" x14ac:dyDescent="0.6">
      <c r="K36" s="33"/>
      <c r="L36" s="34"/>
    </row>
    <row r="37" spans="11:21" ht="15.9" thickBot="1" x14ac:dyDescent="0.65">
      <c r="K37" s="47"/>
      <c r="L37" s="48"/>
      <c r="S37" s="55"/>
      <c r="T37" s="55"/>
      <c r="U37" s="55"/>
    </row>
    <row r="39" spans="11:21" x14ac:dyDescent="0.6">
      <c r="S39" s="55"/>
      <c r="T39" s="55"/>
      <c r="U39" s="55"/>
    </row>
    <row r="40" spans="11:21" x14ac:dyDescent="0.6">
      <c r="S40" s="55"/>
      <c r="T40" s="55"/>
      <c r="U40" s="55"/>
    </row>
  </sheetData>
  <mergeCells count="21">
    <mergeCell ref="K32:L32"/>
    <mergeCell ref="Y1:Z1"/>
    <mergeCell ref="K9:L9"/>
    <mergeCell ref="M9:N9"/>
    <mergeCell ref="O9:P9"/>
    <mergeCell ref="Q1:R1"/>
    <mergeCell ref="S1:T1"/>
    <mergeCell ref="U1:V1"/>
    <mergeCell ref="K1:L1"/>
    <mergeCell ref="M1:N1"/>
    <mergeCell ref="O1:P1"/>
    <mergeCell ref="K26:L26"/>
    <mergeCell ref="S9:T9"/>
    <mergeCell ref="Q9:R9"/>
    <mergeCell ref="W1:X1"/>
    <mergeCell ref="K20:L20"/>
    <mergeCell ref="M20:N20"/>
    <mergeCell ref="O20:P20"/>
    <mergeCell ref="U9:V9"/>
    <mergeCell ref="M26:N26"/>
    <mergeCell ref="W9:X9"/>
  </mergeCells>
  <conditionalFormatting sqref="C2:J2 D3:J3 E4:G4 F5:G5 G6">
    <cfRule type="cellIs" dxfId="0" priority="1" operator="greaterThanOrEqual">
      <formula>5</formula>
    </cfRule>
  </conditionalFormatting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2409-54E4-AF4D-9ABD-DE7B351C662F}">
  <dimension ref="A1:A8"/>
  <sheetViews>
    <sheetView workbookViewId="0">
      <selection activeCell="F14" sqref="F14"/>
    </sheetView>
  </sheetViews>
  <sheetFormatPr defaultColWidth="11" defaultRowHeight="15.6" x14ac:dyDescent="0.6"/>
  <sheetData>
    <row r="1" spans="1:1" x14ac:dyDescent="0.6">
      <c r="A1" t="s">
        <v>134</v>
      </c>
    </row>
    <row r="6" spans="1:1" x14ac:dyDescent="0.6">
      <c r="A6" t="s">
        <v>174</v>
      </c>
    </row>
    <row r="7" spans="1:1" x14ac:dyDescent="0.6">
      <c r="A7" t="s">
        <v>172</v>
      </c>
    </row>
    <row r="8" spans="1:1" x14ac:dyDescent="0.6">
      <c r="A8" t="s">
        <v>173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9355-AD46-2748-B807-D0247307DCCF}">
  <dimension ref="A1:BD17"/>
  <sheetViews>
    <sheetView workbookViewId="0">
      <selection activeCell="F15" sqref="F15"/>
    </sheetView>
  </sheetViews>
  <sheetFormatPr defaultColWidth="11" defaultRowHeight="15.6" x14ac:dyDescent="0.6"/>
  <cols>
    <col min="6" max="6" width="11" bestFit="1" customWidth="1"/>
    <col min="8" max="12" width="11" bestFit="1" customWidth="1"/>
    <col min="15" max="15" width="11" bestFit="1" customWidth="1"/>
    <col min="19" max="19" width="11" bestFit="1" customWidth="1"/>
    <col min="20" max="20" width="11.5" bestFit="1" customWidth="1"/>
    <col min="21" max="21" width="11" bestFit="1" customWidth="1"/>
    <col min="22" max="22" width="11.5" bestFit="1" customWidth="1"/>
    <col min="26" max="30" width="11" bestFit="1" customWidth="1"/>
    <col min="38" max="42" width="11" bestFit="1" customWidth="1"/>
  </cols>
  <sheetData>
    <row r="1" spans="1:56" x14ac:dyDescent="0.6">
      <c r="A1" s="14" t="s">
        <v>181</v>
      </c>
      <c r="B1" s="14" t="s">
        <v>191</v>
      </c>
      <c r="C1" t="s">
        <v>140</v>
      </c>
      <c r="D1" t="s">
        <v>171</v>
      </c>
      <c r="F1" s="2" t="s">
        <v>31</v>
      </c>
      <c r="G1" s="2" t="s">
        <v>35</v>
      </c>
      <c r="H1" s="4" t="s">
        <v>4</v>
      </c>
      <c r="I1" s="6" t="s">
        <v>5</v>
      </c>
      <c r="J1" s="2" t="s">
        <v>44</v>
      </c>
      <c r="K1" s="2" t="s">
        <v>45</v>
      </c>
      <c r="L1" s="2" t="s">
        <v>6</v>
      </c>
      <c r="M1" s="2" t="s">
        <v>32</v>
      </c>
      <c r="N1" s="2" t="s">
        <v>135</v>
      </c>
      <c r="O1" s="2" t="s">
        <v>7</v>
      </c>
      <c r="P1" s="2" t="s">
        <v>8</v>
      </c>
      <c r="Q1" s="2" t="s">
        <v>9</v>
      </c>
      <c r="R1" s="2" t="s">
        <v>133</v>
      </c>
      <c r="S1" s="2"/>
      <c r="T1" s="4" t="s">
        <v>10</v>
      </c>
      <c r="U1" s="6" t="s">
        <v>11</v>
      </c>
      <c r="V1" s="13" t="s">
        <v>20</v>
      </c>
      <c r="W1" s="8" t="s">
        <v>21</v>
      </c>
      <c r="X1" s="8"/>
      <c r="Y1" s="8"/>
      <c r="Z1" s="8"/>
      <c r="AA1" s="8"/>
      <c r="AB1" s="2" t="s">
        <v>62</v>
      </c>
      <c r="AC1" s="2" t="s">
        <v>12</v>
      </c>
      <c r="AD1" s="2" t="s">
        <v>3</v>
      </c>
      <c r="AE1" s="2" t="s">
        <v>0</v>
      </c>
      <c r="AF1" s="2" t="s">
        <v>1</v>
      </c>
      <c r="AG1" s="2" t="s">
        <v>2</v>
      </c>
      <c r="AH1" s="2" t="s">
        <v>24</v>
      </c>
      <c r="AI1" s="2" t="s">
        <v>13</v>
      </c>
      <c r="AJ1" s="3" t="s">
        <v>26</v>
      </c>
      <c r="AK1" s="9" t="s">
        <v>27</v>
      </c>
      <c r="AL1" s="3" t="s">
        <v>33</v>
      </c>
      <c r="AM1" s="3" t="s">
        <v>178</v>
      </c>
      <c r="AN1" s="2" t="s">
        <v>65</v>
      </c>
      <c r="AO1" s="2" t="s">
        <v>14</v>
      </c>
      <c r="AP1" s="2" t="s">
        <v>18</v>
      </c>
      <c r="AQ1" s="2" t="s">
        <v>15</v>
      </c>
      <c r="AR1" s="2" t="s">
        <v>16</v>
      </c>
      <c r="AS1" s="2" t="s">
        <v>17</v>
      </c>
      <c r="AT1" s="2" t="s">
        <v>25</v>
      </c>
      <c r="AU1" s="2" t="s">
        <v>19</v>
      </c>
      <c r="AV1" s="3" t="s">
        <v>29</v>
      </c>
      <c r="AW1" s="9" t="s">
        <v>28</v>
      </c>
      <c r="AX1" s="3" t="s">
        <v>34</v>
      </c>
      <c r="AY1" s="3" t="s">
        <v>179</v>
      </c>
      <c r="AZ1" s="12" t="s">
        <v>150</v>
      </c>
      <c r="BA1" s="12" t="s">
        <v>151</v>
      </c>
      <c r="BB1" s="12" t="s">
        <v>152</v>
      </c>
      <c r="BC1" t="s">
        <v>30</v>
      </c>
      <c r="BD1" t="s">
        <v>23</v>
      </c>
    </row>
    <row r="2" spans="1:56" s="15" customFormat="1" x14ac:dyDescent="0.6">
      <c r="A2" s="16" t="s">
        <v>141</v>
      </c>
      <c r="B2" s="14" t="s">
        <v>141</v>
      </c>
      <c r="C2" s="15" t="s">
        <v>141</v>
      </c>
      <c r="D2" t="s">
        <v>63</v>
      </c>
      <c r="E2"/>
      <c r="F2" s="68">
        <v>3</v>
      </c>
      <c r="G2" s="68" t="s">
        <v>51</v>
      </c>
      <c r="H2" s="67">
        <v>44105</v>
      </c>
      <c r="I2" s="69">
        <v>0.54166666666666663</v>
      </c>
      <c r="J2" s="68">
        <v>12</v>
      </c>
      <c r="K2" s="68">
        <v>11.5</v>
      </c>
      <c r="L2" s="68">
        <v>20</v>
      </c>
      <c r="M2" s="70" t="s">
        <v>54</v>
      </c>
      <c r="N2" t="s">
        <v>182</v>
      </c>
      <c r="O2" s="68">
        <v>25</v>
      </c>
      <c r="P2" s="70" t="s">
        <v>58</v>
      </c>
      <c r="Q2" s="68" t="s">
        <v>149</v>
      </c>
      <c r="R2" s="16" t="s">
        <v>63</v>
      </c>
      <c r="S2" s="16"/>
      <c r="T2" s="67">
        <v>44112</v>
      </c>
      <c r="U2" s="69">
        <v>0.44513888888888892</v>
      </c>
      <c r="V2" s="5">
        <v>44119</v>
      </c>
      <c r="W2" s="69">
        <v>0.42638888888888887</v>
      </c>
      <c r="X2" s="46"/>
      <c r="Y2" s="46"/>
      <c r="Z2" s="46"/>
      <c r="AA2" s="46"/>
      <c r="AB2" s="70" t="s">
        <v>46</v>
      </c>
      <c r="AC2" s="70" t="s">
        <v>63</v>
      </c>
      <c r="AD2" s="70" t="s">
        <v>47</v>
      </c>
      <c r="AE2" s="68">
        <v>14.5</v>
      </c>
      <c r="AF2" s="68">
        <v>10.5</v>
      </c>
      <c r="AG2" s="68">
        <v>8</v>
      </c>
      <c r="AH2" s="68">
        <v>40</v>
      </c>
      <c r="AI2" s="68">
        <v>0</v>
      </c>
      <c r="AJ2" s="68">
        <v>40</v>
      </c>
      <c r="AK2" s="71">
        <v>0</v>
      </c>
      <c r="AL2" s="68">
        <v>0</v>
      </c>
      <c r="AM2" s="16" t="s">
        <v>63</v>
      </c>
      <c r="AN2" s="70" t="s">
        <v>66</v>
      </c>
      <c r="AO2" s="70" t="s">
        <v>64</v>
      </c>
      <c r="AP2" s="70" t="s">
        <v>67</v>
      </c>
      <c r="AQ2" s="15">
        <v>5.5</v>
      </c>
      <c r="AR2" s="15">
        <v>3</v>
      </c>
      <c r="AS2" s="15">
        <v>6</v>
      </c>
      <c r="AT2" s="68">
        <v>95</v>
      </c>
      <c r="AU2" s="15">
        <v>0</v>
      </c>
      <c r="AV2" s="68">
        <v>90</v>
      </c>
      <c r="AW2" s="71">
        <v>0</v>
      </c>
      <c r="AX2" s="68">
        <v>0</v>
      </c>
      <c r="AY2" s="15" t="s">
        <v>63</v>
      </c>
      <c r="AZ2" s="72"/>
      <c r="BA2" s="17"/>
      <c r="BB2" t="s">
        <v>70</v>
      </c>
      <c r="BC2" s="70" t="s">
        <v>74</v>
      </c>
    </row>
    <row r="3" spans="1:56" s="15" customFormat="1" ht="17.05" customHeight="1" x14ac:dyDescent="0.6">
      <c r="A3" s="16" t="s">
        <v>141</v>
      </c>
      <c r="B3" s="14" t="s">
        <v>141</v>
      </c>
      <c r="C3" s="15" t="s">
        <v>141</v>
      </c>
      <c r="D3" t="s">
        <v>63</v>
      </c>
      <c r="E3"/>
      <c r="F3" s="68"/>
      <c r="G3" s="68"/>
      <c r="H3" s="67"/>
      <c r="I3" s="69"/>
      <c r="J3" s="68"/>
      <c r="K3" s="68"/>
      <c r="L3" s="68"/>
      <c r="M3" s="70"/>
      <c r="N3" t="s">
        <v>182</v>
      </c>
      <c r="O3" s="68"/>
      <c r="P3" s="70"/>
      <c r="Q3" s="68"/>
      <c r="R3" s="16" t="s">
        <v>63</v>
      </c>
      <c r="S3" s="16"/>
      <c r="T3" s="67"/>
      <c r="U3" s="69"/>
      <c r="V3" s="5">
        <v>44119</v>
      </c>
      <c r="W3" s="69"/>
      <c r="X3" s="46"/>
      <c r="Y3" s="46"/>
      <c r="Z3" s="46"/>
      <c r="AA3" s="46"/>
      <c r="AB3" s="70"/>
      <c r="AC3" s="70"/>
      <c r="AD3" s="70"/>
      <c r="AE3" s="68"/>
      <c r="AF3" s="68"/>
      <c r="AG3" s="68"/>
      <c r="AH3" s="68"/>
      <c r="AI3" s="68"/>
      <c r="AJ3" s="68"/>
      <c r="AK3" s="71"/>
      <c r="AL3" s="68"/>
      <c r="AM3" s="16" t="s">
        <v>63</v>
      </c>
      <c r="AN3" s="70"/>
      <c r="AO3" s="70"/>
      <c r="AP3" s="70"/>
      <c r="AQ3" s="15">
        <v>8</v>
      </c>
      <c r="AR3" s="15">
        <v>4.5</v>
      </c>
      <c r="AS3" s="15">
        <v>5.5</v>
      </c>
      <c r="AT3" s="68"/>
      <c r="AU3" s="15">
        <v>0</v>
      </c>
      <c r="AV3" s="68"/>
      <c r="AW3" s="71"/>
      <c r="AX3" s="68"/>
      <c r="AY3" s="15" t="s">
        <v>63</v>
      </c>
      <c r="AZ3" s="72"/>
      <c r="BA3" s="17"/>
      <c r="BB3" t="s">
        <v>70</v>
      </c>
      <c r="BC3" s="70"/>
    </row>
    <row r="4" spans="1:56" x14ac:dyDescent="0.6">
      <c r="A4" s="14" t="s">
        <v>63</v>
      </c>
      <c r="B4" s="14" t="s">
        <v>141</v>
      </c>
      <c r="C4" t="s">
        <v>141</v>
      </c>
      <c r="D4" t="s">
        <v>63</v>
      </c>
      <c r="F4">
        <v>44</v>
      </c>
      <c r="G4" t="s">
        <v>52</v>
      </c>
      <c r="H4" s="5">
        <v>44227</v>
      </c>
      <c r="I4" s="7">
        <v>0.55208333333333337</v>
      </c>
      <c r="J4">
        <v>8</v>
      </c>
      <c r="K4">
        <v>8</v>
      </c>
      <c r="L4">
        <v>13</v>
      </c>
      <c r="M4" t="s">
        <v>108</v>
      </c>
      <c r="N4" t="s">
        <v>169</v>
      </c>
      <c r="O4">
        <v>26</v>
      </c>
      <c r="P4" t="s">
        <v>22</v>
      </c>
      <c r="Q4" t="s">
        <v>206</v>
      </c>
      <c r="R4" t="s">
        <v>63</v>
      </c>
      <c r="T4" s="5">
        <v>44231</v>
      </c>
      <c r="U4" s="7">
        <v>0.46319444444444446</v>
      </c>
      <c r="V4" s="5">
        <v>44238</v>
      </c>
      <c r="W4" s="7">
        <v>0.4375</v>
      </c>
      <c r="X4" s="7"/>
      <c r="Y4" s="7"/>
      <c r="Z4" s="7"/>
      <c r="AA4" s="7"/>
      <c r="AB4" t="s">
        <v>46</v>
      </c>
      <c r="AC4" t="s">
        <v>63</v>
      </c>
      <c r="AD4" t="s">
        <v>47</v>
      </c>
      <c r="AE4">
        <v>7</v>
      </c>
      <c r="AF4">
        <v>5.5</v>
      </c>
      <c r="AG4">
        <v>2.5</v>
      </c>
      <c r="AH4">
        <v>50</v>
      </c>
      <c r="AI4">
        <v>0</v>
      </c>
      <c r="AK4" s="10"/>
      <c r="AN4" t="s">
        <v>66</v>
      </c>
      <c r="AO4" t="s">
        <v>64</v>
      </c>
      <c r="AP4" t="s">
        <v>67</v>
      </c>
      <c r="AQ4">
        <v>10.5</v>
      </c>
      <c r="AR4">
        <v>5</v>
      </c>
      <c r="AS4">
        <v>7.5</v>
      </c>
      <c r="AT4">
        <v>25</v>
      </c>
      <c r="AU4">
        <v>0</v>
      </c>
      <c r="AW4" s="10"/>
      <c r="BC4" t="s">
        <v>176</v>
      </c>
    </row>
    <row r="5" spans="1:56" ht="17.05" customHeight="1" x14ac:dyDescent="0.6">
      <c r="A5" s="14" t="s">
        <v>141</v>
      </c>
      <c r="B5" s="14" t="s">
        <v>63</v>
      </c>
      <c r="C5" s="14" t="s">
        <v>141</v>
      </c>
      <c r="D5" t="s">
        <v>63</v>
      </c>
      <c r="F5">
        <v>49</v>
      </c>
      <c r="G5" t="s">
        <v>52</v>
      </c>
      <c r="H5" s="5">
        <v>44238</v>
      </c>
      <c r="I5" s="7">
        <v>0.4694444444444445</v>
      </c>
      <c r="J5">
        <v>12</v>
      </c>
      <c r="K5">
        <v>12</v>
      </c>
      <c r="L5">
        <v>18</v>
      </c>
      <c r="M5" t="s">
        <v>71</v>
      </c>
      <c r="N5" t="s">
        <v>210</v>
      </c>
      <c r="O5">
        <v>41</v>
      </c>
      <c r="P5" t="s">
        <v>22</v>
      </c>
      <c r="Q5" t="s">
        <v>204</v>
      </c>
      <c r="R5" t="s">
        <v>204</v>
      </c>
      <c r="T5" s="5">
        <v>44245</v>
      </c>
      <c r="U5" s="7">
        <v>0.50972222222222219</v>
      </c>
      <c r="V5" s="5"/>
      <c r="W5" s="7"/>
      <c r="X5" s="7"/>
      <c r="Y5" s="7"/>
      <c r="Z5" s="7"/>
      <c r="AA5" s="7"/>
      <c r="AB5" t="s">
        <v>66</v>
      </c>
      <c r="AC5" t="s">
        <v>64</v>
      </c>
      <c r="AD5" t="s">
        <v>67</v>
      </c>
      <c r="AE5">
        <v>7</v>
      </c>
      <c r="AF5">
        <v>7.5</v>
      </c>
      <c r="AG5">
        <v>8.5</v>
      </c>
      <c r="AH5">
        <v>70</v>
      </c>
      <c r="AI5">
        <v>0</v>
      </c>
      <c r="AK5" s="10"/>
      <c r="AL5">
        <v>2</v>
      </c>
      <c r="AN5" t="s">
        <v>117</v>
      </c>
      <c r="AO5" t="s">
        <v>63</v>
      </c>
      <c r="AP5" t="s">
        <v>120</v>
      </c>
      <c r="AQ5">
        <v>10.5</v>
      </c>
      <c r="AR5">
        <v>6.5</v>
      </c>
      <c r="AS5">
        <v>7</v>
      </c>
      <c r="AT5">
        <v>50</v>
      </c>
      <c r="AU5">
        <v>0</v>
      </c>
      <c r="AW5" s="10"/>
      <c r="AX5">
        <v>1</v>
      </c>
      <c r="BC5" t="s">
        <v>274</v>
      </c>
    </row>
    <row r="6" spans="1:56" x14ac:dyDescent="0.6">
      <c r="A6" s="14" t="s">
        <v>141</v>
      </c>
      <c r="B6" s="14" t="s">
        <v>63</v>
      </c>
      <c r="C6" s="14" t="s">
        <v>141</v>
      </c>
      <c r="D6" t="s">
        <v>63</v>
      </c>
      <c r="F6">
        <v>50</v>
      </c>
      <c r="G6" t="s">
        <v>53</v>
      </c>
      <c r="H6" s="5">
        <v>44238</v>
      </c>
      <c r="I6" s="7">
        <v>0.49791666666666662</v>
      </c>
      <c r="J6">
        <v>9</v>
      </c>
      <c r="K6">
        <v>9.5</v>
      </c>
      <c r="L6">
        <v>15</v>
      </c>
      <c r="M6" t="s">
        <v>71</v>
      </c>
      <c r="N6" t="s">
        <v>211</v>
      </c>
      <c r="O6">
        <v>44</v>
      </c>
      <c r="P6" t="s">
        <v>56</v>
      </c>
      <c r="Q6" t="s">
        <v>213</v>
      </c>
      <c r="R6" t="s">
        <v>63</v>
      </c>
      <c r="T6" s="5">
        <v>44245</v>
      </c>
      <c r="U6" s="7">
        <v>0.58680555555555558</v>
      </c>
      <c r="V6" s="5"/>
      <c r="W6" s="7"/>
      <c r="X6" s="7"/>
      <c r="Y6" s="7"/>
      <c r="Z6" s="7"/>
      <c r="AA6" s="7"/>
      <c r="AB6" t="s">
        <v>66</v>
      </c>
      <c r="AC6" t="s">
        <v>63</v>
      </c>
      <c r="AD6" t="s">
        <v>67</v>
      </c>
      <c r="AE6">
        <v>6</v>
      </c>
      <c r="AF6">
        <v>5.5</v>
      </c>
      <c r="AG6">
        <v>8.5</v>
      </c>
      <c r="AH6">
        <v>80</v>
      </c>
      <c r="AI6">
        <v>0</v>
      </c>
      <c r="AK6" s="10"/>
      <c r="AL6">
        <v>2</v>
      </c>
      <c r="AN6" t="s">
        <v>117</v>
      </c>
      <c r="AO6" t="s">
        <v>64</v>
      </c>
      <c r="AP6" t="s">
        <v>120</v>
      </c>
      <c r="AQ6">
        <v>8</v>
      </c>
      <c r="AR6">
        <v>5.5</v>
      </c>
      <c r="AS6">
        <v>2</v>
      </c>
      <c r="AT6">
        <v>50</v>
      </c>
      <c r="AU6">
        <v>0</v>
      </c>
      <c r="AW6" s="10"/>
      <c r="AX6">
        <v>0</v>
      </c>
      <c r="BC6" t="s">
        <v>274</v>
      </c>
    </row>
    <row r="7" spans="1:56" x14ac:dyDescent="0.6">
      <c r="A7" s="14" t="s">
        <v>63</v>
      </c>
      <c r="B7" s="14" t="s">
        <v>63</v>
      </c>
      <c r="C7" t="s">
        <v>63</v>
      </c>
      <c r="D7" t="s">
        <v>141</v>
      </c>
      <c r="F7">
        <v>38</v>
      </c>
      <c r="G7" s="11" t="s">
        <v>51</v>
      </c>
      <c r="H7" s="5" t="s">
        <v>182</v>
      </c>
      <c r="I7" s="7" t="s">
        <v>182</v>
      </c>
      <c r="J7">
        <v>14.5</v>
      </c>
      <c r="K7">
        <v>14.5</v>
      </c>
      <c r="L7">
        <v>25</v>
      </c>
      <c r="M7" t="s">
        <v>182</v>
      </c>
      <c r="N7" t="s">
        <v>182</v>
      </c>
      <c r="O7" t="s">
        <v>182</v>
      </c>
      <c r="P7" t="s">
        <v>106</v>
      </c>
      <c r="Q7" t="s">
        <v>207</v>
      </c>
      <c r="R7" t="s">
        <v>182</v>
      </c>
      <c r="T7" s="5">
        <v>44217</v>
      </c>
      <c r="U7" s="7">
        <v>0.52013888888888882</v>
      </c>
      <c r="V7" s="5">
        <v>44227</v>
      </c>
      <c r="W7" s="7">
        <v>0.40763888888888888</v>
      </c>
      <c r="X7" s="7"/>
      <c r="Y7" s="7"/>
      <c r="Z7" s="7"/>
      <c r="AA7" s="7"/>
      <c r="AB7" t="s">
        <v>46</v>
      </c>
      <c r="AC7" t="s">
        <v>63</v>
      </c>
      <c r="AD7" t="s">
        <v>47</v>
      </c>
      <c r="AE7">
        <v>14</v>
      </c>
      <c r="AF7">
        <v>10</v>
      </c>
      <c r="AG7">
        <v>7</v>
      </c>
      <c r="AH7">
        <v>40</v>
      </c>
      <c r="AI7">
        <v>0</v>
      </c>
      <c r="AJ7">
        <v>40</v>
      </c>
      <c r="AK7" s="10">
        <f t="shared" ref="AK7" si="0">((AH7-AJ7)/AH7)</f>
        <v>0</v>
      </c>
      <c r="AL7">
        <v>0</v>
      </c>
      <c r="AM7" t="s">
        <v>63</v>
      </c>
      <c r="AN7" t="s">
        <v>119</v>
      </c>
      <c r="AO7" t="s">
        <v>64</v>
      </c>
      <c r="AP7" t="s">
        <v>120</v>
      </c>
      <c r="AQ7">
        <v>15</v>
      </c>
      <c r="AR7">
        <v>10</v>
      </c>
      <c r="AS7">
        <v>5.5</v>
      </c>
      <c r="AT7">
        <v>35</v>
      </c>
      <c r="AU7">
        <v>0</v>
      </c>
      <c r="AV7">
        <v>0</v>
      </c>
      <c r="AW7" s="10">
        <f t="shared" ref="AW7" si="1">((AT7-AV7)/AT7)</f>
        <v>1</v>
      </c>
      <c r="AX7">
        <v>2</v>
      </c>
      <c r="AY7" t="s">
        <v>141</v>
      </c>
      <c r="AZ7" t="s">
        <v>119</v>
      </c>
      <c r="BB7" t="s">
        <v>46</v>
      </c>
      <c r="BC7" t="s">
        <v>165</v>
      </c>
    </row>
    <row r="8" spans="1:56" x14ac:dyDescent="0.6">
      <c r="A8" s="14"/>
      <c r="B8" s="14"/>
      <c r="G8" s="11"/>
      <c r="H8" s="5"/>
      <c r="I8" s="7"/>
      <c r="T8" s="5"/>
      <c r="U8" s="7"/>
      <c r="V8" s="5"/>
      <c r="W8" s="7"/>
      <c r="X8" s="7"/>
      <c r="Y8" s="7"/>
      <c r="Z8" s="7"/>
      <c r="AA8" s="7"/>
      <c r="AK8" s="10"/>
      <c r="AW8" s="10"/>
    </row>
    <row r="9" spans="1:56" x14ac:dyDescent="0.6">
      <c r="A9" s="24" t="s">
        <v>181</v>
      </c>
      <c r="B9" s="24" t="s">
        <v>191</v>
      </c>
      <c r="C9" s="25" t="s">
        <v>140</v>
      </c>
      <c r="D9" s="25" t="s">
        <v>490</v>
      </c>
      <c r="E9" s="25" t="s">
        <v>491</v>
      </c>
      <c r="F9" s="21" t="s">
        <v>31</v>
      </c>
      <c r="G9" s="2" t="s">
        <v>35</v>
      </c>
      <c r="H9" s="4" t="s">
        <v>4</v>
      </c>
      <c r="I9" s="6" t="s">
        <v>5</v>
      </c>
      <c r="J9" s="19" t="s">
        <v>44</v>
      </c>
      <c r="K9" s="19" t="s">
        <v>45</v>
      </c>
      <c r="L9" s="19" t="s">
        <v>6</v>
      </c>
      <c r="M9" s="2" t="s">
        <v>32</v>
      </c>
      <c r="N9" s="2" t="s">
        <v>135</v>
      </c>
      <c r="O9" s="21" t="s">
        <v>7</v>
      </c>
      <c r="P9" s="2" t="s">
        <v>8</v>
      </c>
      <c r="Q9" s="2" t="s">
        <v>9</v>
      </c>
      <c r="R9" s="2" t="s">
        <v>133</v>
      </c>
      <c r="S9" s="2" t="s">
        <v>488</v>
      </c>
      <c r="T9" s="4" t="s">
        <v>10</v>
      </c>
      <c r="U9" s="6" t="s">
        <v>11</v>
      </c>
      <c r="V9" s="13" t="s">
        <v>20</v>
      </c>
      <c r="W9" s="8" t="s">
        <v>21</v>
      </c>
      <c r="X9" s="8" t="s">
        <v>489</v>
      </c>
      <c r="Y9" s="3" t="s">
        <v>348</v>
      </c>
      <c r="Z9" s="3" t="s">
        <v>349</v>
      </c>
      <c r="AA9" s="3" t="s">
        <v>228</v>
      </c>
      <c r="AB9" s="2" t="s">
        <v>229</v>
      </c>
      <c r="AC9" s="2" t="s">
        <v>350</v>
      </c>
      <c r="AD9" s="2" t="s">
        <v>510</v>
      </c>
      <c r="AE9" s="2" t="s">
        <v>243</v>
      </c>
      <c r="AF9" s="2" t="s">
        <v>3</v>
      </c>
      <c r="AG9" s="19" t="s">
        <v>0</v>
      </c>
      <c r="AH9" s="19" t="s">
        <v>1</v>
      </c>
      <c r="AI9" s="19" t="s">
        <v>2</v>
      </c>
      <c r="AJ9" s="21" t="s">
        <v>24</v>
      </c>
      <c r="AK9" s="21" t="s">
        <v>13</v>
      </c>
      <c r="AL9" s="23" t="s">
        <v>26</v>
      </c>
      <c r="AM9" s="9" t="s">
        <v>27</v>
      </c>
      <c r="AN9" s="23" t="s">
        <v>231</v>
      </c>
      <c r="AO9" s="23" t="s">
        <v>248</v>
      </c>
      <c r="AP9" s="3" t="s">
        <v>232</v>
      </c>
      <c r="AQ9" s="12" t="s">
        <v>150</v>
      </c>
      <c r="AR9" s="12" t="s">
        <v>151</v>
      </c>
      <c r="AS9" s="12" t="s">
        <v>152</v>
      </c>
      <c r="AT9" s="12" t="s">
        <v>152</v>
      </c>
      <c r="AU9" s="12" t="s">
        <v>316</v>
      </c>
      <c r="AV9" s="12" t="s">
        <v>317</v>
      </c>
      <c r="AW9" s="12" t="s">
        <v>319</v>
      </c>
      <c r="AX9" s="12" t="s">
        <v>318</v>
      </c>
      <c r="AY9" s="12" t="s">
        <v>457</v>
      </c>
      <c r="AZ9" s="12" t="s">
        <v>459</v>
      </c>
      <c r="BA9" t="s">
        <v>30</v>
      </c>
    </row>
    <row r="10" spans="1:56" x14ac:dyDescent="0.6">
      <c r="A10" s="14" t="s">
        <v>141</v>
      </c>
      <c r="B10" s="27" t="s">
        <v>63</v>
      </c>
      <c r="C10" t="s">
        <v>141</v>
      </c>
      <c r="D10" s="28" t="s">
        <v>141</v>
      </c>
      <c r="E10" s="28"/>
      <c r="F10" s="22">
        <v>63</v>
      </c>
      <c r="G10" t="s">
        <v>50</v>
      </c>
      <c r="H10" s="5">
        <v>44301</v>
      </c>
      <c r="I10" s="7">
        <v>0.5</v>
      </c>
      <c r="J10" s="20">
        <v>9</v>
      </c>
      <c r="K10" s="20">
        <v>9.5</v>
      </c>
      <c r="L10" s="20">
        <v>14</v>
      </c>
      <c r="M10" t="s">
        <v>55</v>
      </c>
      <c r="N10" t="s">
        <v>304</v>
      </c>
      <c r="O10" s="22">
        <v>17</v>
      </c>
      <c r="P10" t="s">
        <v>56</v>
      </c>
      <c r="Q10" t="s">
        <v>305</v>
      </c>
      <c r="R10" t="s">
        <v>63</v>
      </c>
      <c r="T10" s="5">
        <v>44308</v>
      </c>
      <c r="U10" s="7">
        <v>0.50069444444444444</v>
      </c>
      <c r="V10" s="5">
        <v>44309</v>
      </c>
      <c r="W10" s="7">
        <v>0.75</v>
      </c>
      <c r="X10" s="7"/>
      <c r="Y10" s="18" t="s">
        <v>217</v>
      </c>
      <c r="Z10" s="18"/>
      <c r="AA10">
        <v>1</v>
      </c>
      <c r="AB10" t="s">
        <v>118</v>
      </c>
      <c r="AC10" t="s">
        <v>236</v>
      </c>
      <c r="AD10" t="s">
        <v>242</v>
      </c>
      <c r="AF10" t="s">
        <v>121</v>
      </c>
      <c r="AG10" s="20">
        <v>8.5</v>
      </c>
      <c r="AH10" s="20">
        <v>5</v>
      </c>
      <c r="AI10" s="20">
        <v>8.5</v>
      </c>
      <c r="AJ10" s="22">
        <v>95</v>
      </c>
      <c r="AK10" s="22">
        <v>0</v>
      </c>
      <c r="AL10" s="22">
        <v>95</v>
      </c>
      <c r="AM10" s="10">
        <f>(AJ10-AL10)/AJ10</f>
        <v>0</v>
      </c>
      <c r="AN10" s="22" t="s">
        <v>245</v>
      </c>
      <c r="AO10" s="22">
        <v>0</v>
      </c>
      <c r="AP10" t="s">
        <v>233</v>
      </c>
      <c r="AQ10" t="s">
        <v>66</v>
      </c>
      <c r="AS10" t="s">
        <v>118</v>
      </c>
      <c r="AU10" s="22" t="s">
        <v>309</v>
      </c>
    </row>
    <row r="11" spans="1:56" x14ac:dyDescent="0.6">
      <c r="A11" s="14" t="s">
        <v>141</v>
      </c>
      <c r="B11" s="27" t="s">
        <v>63</v>
      </c>
      <c r="C11" t="s">
        <v>141</v>
      </c>
      <c r="D11" s="28" t="s">
        <v>141</v>
      </c>
      <c r="E11" s="28"/>
      <c r="F11" s="22">
        <v>63</v>
      </c>
      <c r="G11" t="s">
        <v>50</v>
      </c>
      <c r="H11" s="5">
        <v>44301</v>
      </c>
      <c r="I11" s="7">
        <v>0.5</v>
      </c>
      <c r="J11" s="20">
        <v>9</v>
      </c>
      <c r="K11" s="20">
        <v>9.5</v>
      </c>
      <c r="L11" s="20">
        <v>14</v>
      </c>
      <c r="M11" t="s">
        <v>55</v>
      </c>
      <c r="N11" t="s">
        <v>304</v>
      </c>
      <c r="O11" s="22">
        <v>17</v>
      </c>
      <c r="P11" t="s">
        <v>56</v>
      </c>
      <c r="Q11" t="s">
        <v>305</v>
      </c>
      <c r="R11" t="s">
        <v>63</v>
      </c>
      <c r="T11" s="5">
        <v>44308</v>
      </c>
      <c r="U11" s="7">
        <v>0.50069444444444444</v>
      </c>
      <c r="V11" s="5">
        <v>44309</v>
      </c>
      <c r="W11" s="7">
        <v>0.75</v>
      </c>
      <c r="X11" s="7"/>
      <c r="Y11" s="18" t="s">
        <v>217</v>
      </c>
      <c r="Z11" s="18"/>
      <c r="AA11">
        <v>2</v>
      </c>
      <c r="AB11" t="s">
        <v>66</v>
      </c>
      <c r="AC11" t="s">
        <v>240</v>
      </c>
      <c r="AD11" t="s">
        <v>244</v>
      </c>
      <c r="AF11" t="s">
        <v>67</v>
      </c>
      <c r="AG11" s="20">
        <v>6.5</v>
      </c>
      <c r="AH11" s="20">
        <v>5</v>
      </c>
      <c r="AI11" s="20">
        <v>7.5</v>
      </c>
      <c r="AJ11" s="22">
        <v>90</v>
      </c>
      <c r="AK11" s="22">
        <v>0</v>
      </c>
      <c r="AL11" s="22">
        <v>0</v>
      </c>
      <c r="AM11" s="10">
        <f>(AJ11-AL11)/AJ11</f>
        <v>1</v>
      </c>
      <c r="AN11" s="22" t="s">
        <v>246</v>
      </c>
      <c r="AO11" s="22">
        <v>2</v>
      </c>
      <c r="AP11" t="s">
        <v>234</v>
      </c>
      <c r="AQ11" t="s">
        <v>66</v>
      </c>
      <c r="AS11" t="s">
        <v>118</v>
      </c>
      <c r="AU11" s="22" t="s">
        <v>309</v>
      </c>
    </row>
    <row r="12" spans="1:56" x14ac:dyDescent="0.6">
      <c r="A12" s="14" t="s">
        <v>141</v>
      </c>
      <c r="B12" s="14" t="s">
        <v>63</v>
      </c>
      <c r="C12" t="s">
        <v>141</v>
      </c>
      <c r="D12" t="s">
        <v>141</v>
      </c>
      <c r="F12" s="22">
        <v>80</v>
      </c>
      <c r="G12" t="s">
        <v>260</v>
      </c>
      <c r="H12" s="5">
        <v>44364</v>
      </c>
      <c r="I12" s="7">
        <v>0.55208333333333337</v>
      </c>
      <c r="J12" s="20" t="s">
        <v>249</v>
      </c>
      <c r="K12" s="20" t="s">
        <v>249</v>
      </c>
      <c r="L12" s="20">
        <v>13</v>
      </c>
      <c r="M12" t="s">
        <v>54</v>
      </c>
      <c r="N12" t="s">
        <v>339</v>
      </c>
      <c r="O12" s="22">
        <v>30</v>
      </c>
      <c r="P12" t="s">
        <v>42</v>
      </c>
      <c r="Q12" t="s">
        <v>332</v>
      </c>
      <c r="R12" t="s">
        <v>332</v>
      </c>
      <c r="T12" s="5">
        <v>44371</v>
      </c>
      <c r="U12" s="7">
        <v>0.60138888888888886</v>
      </c>
      <c r="V12" s="5">
        <v>44373</v>
      </c>
      <c r="W12" s="7">
        <v>0.75</v>
      </c>
      <c r="X12" s="7"/>
      <c r="Y12" t="s">
        <v>223</v>
      </c>
      <c r="AA12">
        <v>1</v>
      </c>
      <c r="AB12" t="s">
        <v>46</v>
      </c>
      <c r="AC12" t="s">
        <v>235</v>
      </c>
      <c r="AD12" t="s">
        <v>244</v>
      </c>
      <c r="AF12" t="s">
        <v>47</v>
      </c>
      <c r="AG12" s="20">
        <v>4.5</v>
      </c>
      <c r="AH12" s="20">
        <v>6.5</v>
      </c>
      <c r="AI12" s="20">
        <v>12</v>
      </c>
      <c r="AJ12" s="22">
        <v>50</v>
      </c>
      <c r="AK12" s="22">
        <v>0</v>
      </c>
      <c r="AL12" s="22">
        <v>50</v>
      </c>
      <c r="AM12" s="26">
        <f t="shared" ref="AM12:AM13" si="2">((AJ12-AL12)/AJ12)</f>
        <v>0</v>
      </c>
      <c r="AN12" s="22" t="s">
        <v>245</v>
      </c>
      <c r="AO12" s="22">
        <v>0</v>
      </c>
      <c r="AP12" t="s">
        <v>233</v>
      </c>
      <c r="AS12" t="s">
        <v>46</v>
      </c>
      <c r="AT12" t="s">
        <v>117</v>
      </c>
      <c r="AU12" t="s">
        <v>324</v>
      </c>
      <c r="AV12" t="s">
        <v>182</v>
      </c>
      <c r="AW12" t="s">
        <v>182</v>
      </c>
      <c r="AX12" t="s">
        <v>182</v>
      </c>
      <c r="BA12" s="20" t="s">
        <v>176</v>
      </c>
    </row>
    <row r="13" spans="1:56" x14ac:dyDescent="0.6">
      <c r="A13" s="14" t="s">
        <v>141</v>
      </c>
      <c r="B13" s="14" t="s">
        <v>63</v>
      </c>
      <c r="C13" t="s">
        <v>141</v>
      </c>
      <c r="D13" t="s">
        <v>141</v>
      </c>
      <c r="F13" s="22">
        <v>80</v>
      </c>
      <c r="G13" t="s">
        <v>260</v>
      </c>
      <c r="H13" s="5">
        <v>44364</v>
      </c>
      <c r="I13" s="7">
        <v>0.55208333333333337</v>
      </c>
      <c r="J13" s="20" t="s">
        <v>249</v>
      </c>
      <c r="K13" s="20" t="s">
        <v>249</v>
      </c>
      <c r="L13" s="20">
        <v>13</v>
      </c>
      <c r="M13" t="s">
        <v>54</v>
      </c>
      <c r="N13" t="s">
        <v>339</v>
      </c>
      <c r="O13" s="22">
        <v>30</v>
      </c>
      <c r="P13" t="s">
        <v>42</v>
      </c>
      <c r="Q13" t="s">
        <v>332</v>
      </c>
      <c r="R13" t="s">
        <v>332</v>
      </c>
      <c r="T13" s="5">
        <v>44371</v>
      </c>
      <c r="U13" s="7">
        <v>0.60138888888888886</v>
      </c>
      <c r="V13" s="5">
        <v>44373</v>
      </c>
      <c r="W13" s="7">
        <v>0.75</v>
      </c>
      <c r="X13" s="7"/>
      <c r="Y13" t="s">
        <v>223</v>
      </c>
      <c r="AA13">
        <v>2</v>
      </c>
      <c r="AB13" t="s">
        <v>117</v>
      </c>
      <c r="AC13" t="s">
        <v>238</v>
      </c>
      <c r="AD13" t="s">
        <v>242</v>
      </c>
      <c r="AF13" t="s">
        <v>120</v>
      </c>
      <c r="AG13" s="20">
        <v>23</v>
      </c>
      <c r="AH13" s="20">
        <v>25</v>
      </c>
      <c r="AI13" s="20">
        <v>10</v>
      </c>
      <c r="AJ13" s="22">
        <v>20</v>
      </c>
      <c r="AK13" s="22">
        <v>0</v>
      </c>
      <c r="AL13" s="22">
        <v>20</v>
      </c>
      <c r="AM13" s="26">
        <f t="shared" si="2"/>
        <v>0</v>
      </c>
      <c r="AN13" s="22" t="s">
        <v>245</v>
      </c>
      <c r="AO13" s="22">
        <v>0</v>
      </c>
      <c r="AP13" t="s">
        <v>233</v>
      </c>
      <c r="AS13" t="s">
        <v>46</v>
      </c>
      <c r="AT13" t="s">
        <v>117</v>
      </c>
      <c r="AU13" t="s">
        <v>324</v>
      </c>
      <c r="AV13" t="s">
        <v>182</v>
      </c>
      <c r="AW13" t="s">
        <v>182</v>
      </c>
      <c r="AX13" t="s">
        <v>182</v>
      </c>
      <c r="BA13" s="20" t="s">
        <v>176</v>
      </c>
    </row>
    <row r="14" spans="1:56" x14ac:dyDescent="0.6">
      <c r="A14" s="14" t="str">
        <f t="shared" ref="A14:A17" si="3">IF(S14&lt;8, "Y", "N")</f>
        <v>N</v>
      </c>
      <c r="B14" s="14" t="str">
        <f t="shared" ref="B14:B17" si="4">IF(X14&lt;8, "Y", "N")</f>
        <v>N</v>
      </c>
      <c r="C14" s="14" t="s">
        <v>141</v>
      </c>
      <c r="D14" s="14" t="s">
        <v>63</v>
      </c>
      <c r="E14" s="14" t="s">
        <v>141</v>
      </c>
      <c r="F14" s="22">
        <v>119</v>
      </c>
      <c r="G14" t="s">
        <v>501</v>
      </c>
      <c r="H14" s="5">
        <v>44691</v>
      </c>
      <c r="I14" s="7">
        <v>0.65625</v>
      </c>
      <c r="J14" s="45">
        <v>11</v>
      </c>
      <c r="K14" s="45">
        <v>12</v>
      </c>
      <c r="L14" s="20">
        <v>16</v>
      </c>
      <c r="M14" t="s">
        <v>55</v>
      </c>
      <c r="N14" t="s">
        <v>503</v>
      </c>
      <c r="O14" s="22">
        <v>21</v>
      </c>
      <c r="P14" t="s">
        <v>79</v>
      </c>
      <c r="Q14" t="s">
        <v>80</v>
      </c>
      <c r="R14" t="s">
        <v>80</v>
      </c>
      <c r="S14">
        <f t="shared" ref="S14:S17" si="5">DATEDIF(H14,T14,"d")</f>
        <v>15</v>
      </c>
      <c r="T14" s="5">
        <v>44706</v>
      </c>
      <c r="U14" s="7">
        <v>0.58333333333333337</v>
      </c>
      <c r="V14" s="5">
        <v>44721</v>
      </c>
      <c r="W14" s="7"/>
      <c r="X14" s="22">
        <f t="shared" ref="X14:X17" si="6">DATEDIF(T14,V14,"d")</f>
        <v>15</v>
      </c>
      <c r="Y14" t="s">
        <v>509</v>
      </c>
      <c r="Z14" t="s">
        <v>509</v>
      </c>
      <c r="AA14">
        <v>1</v>
      </c>
      <c r="AB14" t="s">
        <v>98</v>
      </c>
      <c r="AC14" t="s">
        <v>98</v>
      </c>
      <c r="AD14" t="s">
        <v>237</v>
      </c>
      <c r="AE14" t="s">
        <v>242</v>
      </c>
      <c r="AF14" t="s">
        <v>97</v>
      </c>
      <c r="AG14" s="20">
        <v>7.5</v>
      </c>
      <c r="AH14" s="20">
        <v>6.5</v>
      </c>
      <c r="AI14" s="20">
        <v>2</v>
      </c>
      <c r="AJ14" s="22">
        <v>100</v>
      </c>
      <c r="AK14" s="22">
        <v>0</v>
      </c>
      <c r="AL14" s="22"/>
      <c r="AM14" s="10"/>
      <c r="AN14" s="22"/>
      <c r="AO14" s="22"/>
      <c r="BA14" s="20" t="s">
        <v>512</v>
      </c>
    </row>
    <row r="15" spans="1:56" x14ac:dyDescent="0.6">
      <c r="A15" s="14" t="str">
        <f t="shared" si="3"/>
        <v>N</v>
      </c>
      <c r="B15" s="14" t="str">
        <f t="shared" si="4"/>
        <v>N</v>
      </c>
      <c r="C15" s="14" t="s">
        <v>141</v>
      </c>
      <c r="D15" s="14" t="s">
        <v>63</v>
      </c>
      <c r="E15" s="14" t="s">
        <v>141</v>
      </c>
      <c r="F15" s="22">
        <v>119</v>
      </c>
      <c r="G15" t="s">
        <v>501</v>
      </c>
      <c r="H15" s="5">
        <v>44691</v>
      </c>
      <c r="I15" s="7">
        <v>0.65625</v>
      </c>
      <c r="J15" s="45">
        <v>11</v>
      </c>
      <c r="K15" s="45">
        <v>12</v>
      </c>
      <c r="L15" s="20">
        <v>16</v>
      </c>
      <c r="M15" t="s">
        <v>55</v>
      </c>
      <c r="N15" t="s">
        <v>503</v>
      </c>
      <c r="O15" s="22">
        <v>21</v>
      </c>
      <c r="P15" t="s">
        <v>79</v>
      </c>
      <c r="Q15" t="s">
        <v>80</v>
      </c>
      <c r="R15" t="s">
        <v>80</v>
      </c>
      <c r="S15">
        <f t="shared" si="5"/>
        <v>15</v>
      </c>
      <c r="T15" s="5">
        <v>44706</v>
      </c>
      <c r="U15" s="7">
        <v>0.58333333333333337</v>
      </c>
      <c r="V15" s="5">
        <v>44721</v>
      </c>
      <c r="W15" s="7"/>
      <c r="X15" s="22">
        <f t="shared" si="6"/>
        <v>15</v>
      </c>
      <c r="Y15" t="s">
        <v>509</v>
      </c>
      <c r="Z15" t="s">
        <v>509</v>
      </c>
      <c r="AA15">
        <v>2</v>
      </c>
      <c r="AB15" t="s">
        <v>117</v>
      </c>
      <c r="AC15" t="s">
        <v>117</v>
      </c>
      <c r="AD15" t="s">
        <v>238</v>
      </c>
      <c r="AE15" t="s">
        <v>244</v>
      </c>
      <c r="AF15" t="s">
        <v>120</v>
      </c>
      <c r="AG15" s="20">
        <v>15</v>
      </c>
      <c r="AH15" s="20">
        <v>7</v>
      </c>
      <c r="AI15" s="20">
        <v>7</v>
      </c>
      <c r="AJ15" s="22">
        <v>25</v>
      </c>
      <c r="AK15" s="22">
        <v>0</v>
      </c>
      <c r="AL15" s="22"/>
      <c r="AM15" s="10"/>
      <c r="AN15" s="22"/>
      <c r="AO15" s="22"/>
      <c r="BA15" s="20" t="s">
        <v>512</v>
      </c>
    </row>
    <row r="16" spans="1:56" x14ac:dyDescent="0.6">
      <c r="A16" s="14" t="str">
        <f t="shared" si="3"/>
        <v>Y</v>
      </c>
      <c r="B16" s="14" t="str">
        <f t="shared" si="4"/>
        <v>Y</v>
      </c>
      <c r="C16" s="14" t="s">
        <v>141</v>
      </c>
      <c r="D16" t="s">
        <v>63</v>
      </c>
      <c r="E16" s="14" t="s">
        <v>141</v>
      </c>
      <c r="F16" s="22">
        <v>134</v>
      </c>
      <c r="G16" t="s">
        <v>499</v>
      </c>
      <c r="H16" s="5">
        <v>44790</v>
      </c>
      <c r="I16" s="7">
        <v>0.59375</v>
      </c>
      <c r="J16" s="20">
        <v>12</v>
      </c>
      <c r="K16" s="20">
        <v>13</v>
      </c>
      <c r="L16" s="20">
        <v>20</v>
      </c>
      <c r="M16" t="s">
        <v>109</v>
      </c>
      <c r="N16" t="s">
        <v>565</v>
      </c>
      <c r="O16" s="22">
        <v>28</v>
      </c>
      <c r="P16" t="s">
        <v>22</v>
      </c>
      <c r="Q16" t="s">
        <v>271</v>
      </c>
      <c r="R16" t="s">
        <v>271</v>
      </c>
      <c r="S16">
        <f t="shared" si="5"/>
        <v>7</v>
      </c>
      <c r="T16" s="5">
        <v>44797</v>
      </c>
      <c r="U16" s="7">
        <v>0.53194444444444444</v>
      </c>
      <c r="V16" s="5">
        <v>44804</v>
      </c>
      <c r="W16" s="7">
        <v>0.48402777777777778</v>
      </c>
      <c r="X16" s="22">
        <f t="shared" si="6"/>
        <v>7</v>
      </c>
      <c r="Y16" t="s">
        <v>536</v>
      </c>
      <c r="Z16" t="s">
        <v>536</v>
      </c>
      <c r="AA16">
        <v>1</v>
      </c>
      <c r="AB16" t="s">
        <v>117</v>
      </c>
      <c r="AC16" t="s">
        <v>117</v>
      </c>
      <c r="AE16" t="s">
        <v>244</v>
      </c>
      <c r="AF16" t="s">
        <v>120</v>
      </c>
      <c r="AG16" s="20">
        <v>6</v>
      </c>
      <c r="AH16" s="20">
        <v>8.5</v>
      </c>
      <c r="AI16" s="20">
        <v>3</v>
      </c>
      <c r="AJ16" s="22">
        <v>15</v>
      </c>
      <c r="AK16" s="22">
        <v>0</v>
      </c>
      <c r="AL16" s="22"/>
      <c r="AM16" s="26"/>
      <c r="AN16" s="22"/>
      <c r="AO16" s="22"/>
      <c r="BA16" s="20" t="s">
        <v>589</v>
      </c>
    </row>
    <row r="17" spans="1:53" x14ac:dyDescent="0.6">
      <c r="A17" s="14" t="str">
        <f t="shared" si="3"/>
        <v>Y</v>
      </c>
      <c r="B17" s="14" t="str">
        <f t="shared" si="4"/>
        <v>Y</v>
      </c>
      <c r="C17" s="14" t="s">
        <v>141</v>
      </c>
      <c r="D17" t="s">
        <v>63</v>
      </c>
      <c r="E17" s="14" t="s">
        <v>141</v>
      </c>
      <c r="F17" s="22">
        <v>134</v>
      </c>
      <c r="G17" t="s">
        <v>499</v>
      </c>
      <c r="H17" s="5">
        <v>44790</v>
      </c>
      <c r="I17" s="7">
        <v>0.59375</v>
      </c>
      <c r="J17" s="20">
        <v>12</v>
      </c>
      <c r="K17" s="20">
        <v>13</v>
      </c>
      <c r="L17" s="20">
        <v>20</v>
      </c>
      <c r="M17" t="s">
        <v>109</v>
      </c>
      <c r="N17" t="s">
        <v>565</v>
      </c>
      <c r="O17" s="22">
        <v>28</v>
      </c>
      <c r="P17" t="s">
        <v>22</v>
      </c>
      <c r="Q17" t="s">
        <v>271</v>
      </c>
      <c r="R17" t="s">
        <v>271</v>
      </c>
      <c r="S17">
        <f t="shared" si="5"/>
        <v>7</v>
      </c>
      <c r="T17" s="5">
        <v>44797</v>
      </c>
      <c r="U17" s="7">
        <v>0.53194444444444444</v>
      </c>
      <c r="V17" s="5">
        <v>44804</v>
      </c>
      <c r="W17" s="7">
        <v>0.48402777777777778</v>
      </c>
      <c r="X17" s="22">
        <f t="shared" si="6"/>
        <v>7</v>
      </c>
      <c r="Y17" t="s">
        <v>536</v>
      </c>
      <c r="Z17" t="s">
        <v>536</v>
      </c>
      <c r="AA17">
        <v>2</v>
      </c>
      <c r="AB17" t="s">
        <v>287</v>
      </c>
      <c r="AC17" t="s">
        <v>287</v>
      </c>
      <c r="AE17" t="s">
        <v>242</v>
      </c>
      <c r="AF17" t="s">
        <v>402</v>
      </c>
      <c r="AG17" s="20">
        <v>5</v>
      </c>
      <c r="AH17" s="20">
        <v>4</v>
      </c>
      <c r="AI17" s="20">
        <v>2</v>
      </c>
      <c r="AJ17" s="22">
        <v>80</v>
      </c>
      <c r="AK17" s="22">
        <v>0</v>
      </c>
      <c r="AL17" s="22"/>
      <c r="AM17" s="26"/>
      <c r="AN17" s="22"/>
      <c r="AO17" s="22"/>
      <c r="BA17" s="20"/>
    </row>
  </sheetData>
  <mergeCells count="34">
    <mergeCell ref="AW2:AW3"/>
    <mergeCell ref="AX2:AX3"/>
    <mergeCell ref="AZ2:AZ3"/>
    <mergeCell ref="BC2:BC3"/>
    <mergeCell ref="AL2:AL3"/>
    <mergeCell ref="AN2:AN3"/>
    <mergeCell ref="AO2:AO3"/>
    <mergeCell ref="AP2:AP3"/>
    <mergeCell ref="AT2:AT3"/>
    <mergeCell ref="AV2:AV3"/>
    <mergeCell ref="AK2:AK3"/>
    <mergeCell ref="U2:U3"/>
    <mergeCell ref="W2:W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T2:T3"/>
    <mergeCell ref="F2:F3"/>
    <mergeCell ref="G2:G3"/>
    <mergeCell ref="H2:H3"/>
    <mergeCell ref="I2:I3"/>
    <mergeCell ref="J2:J3"/>
    <mergeCell ref="K2:K3"/>
    <mergeCell ref="L2:L3"/>
    <mergeCell ref="M2:M3"/>
    <mergeCell ref="O2:O3"/>
    <mergeCell ref="P2:P3"/>
    <mergeCell ref="Q2:Q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Sheet1</vt:lpstr>
      <vt:lpstr>Codes</vt:lpstr>
      <vt:lpstr>cage info</vt:lpstr>
      <vt:lpstr>combinations</vt:lpstr>
      <vt:lpstr>data fix</vt:lpstr>
      <vt:lpstr>removed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Escontrela Dieguez</dc:creator>
  <cp:lastModifiedBy>Dani Escontrela (She/Her)</cp:lastModifiedBy>
  <dcterms:created xsi:type="dcterms:W3CDTF">2020-08-05T06:50:57Z</dcterms:created>
  <dcterms:modified xsi:type="dcterms:W3CDTF">2026-01-15T23:24:16Z</dcterms:modified>
</cp:coreProperties>
</file>